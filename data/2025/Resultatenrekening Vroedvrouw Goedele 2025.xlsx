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rein/Library/CloudStorage/GoogleDrive-rein@sweele.be/My Drive/Rein &amp; Goedele/Fiscaal en financieel/Fiscaal 2026 (AJ 2025)/"/>
    </mc:Choice>
  </mc:AlternateContent>
  <xr:revisionPtr revIDLastSave="0" documentId="13_ncr:1_{80B24F3E-98F1-4545-AC04-29418C2159A0}" xr6:coauthVersionLast="47" xr6:coauthVersionMax="47" xr10:uidLastSave="{00000000-0000-0000-0000-000000000000}"/>
  <bookViews>
    <workbookView xWindow="46960" yWindow="2300" windowWidth="42600" windowHeight="24960" activeTab="4" xr2:uid="{00000000-000D-0000-FFFF-FFFF00000000}"/>
  </bookViews>
  <sheets>
    <sheet name="Sheet4" sheetId="8" r:id="rId1"/>
    <sheet name="Verrichtingen 2025" sheetId="6" r:id="rId2"/>
    <sheet name="Mastercard 2025" sheetId="7" r:id="rId3"/>
    <sheet name="categorieën" sheetId="2" r:id="rId4"/>
    <sheet name="Resultaat" sheetId="3" r:id="rId5"/>
    <sheet name="vragen en onduidelijkheden" sheetId="4" r:id="rId6"/>
  </sheets>
  <definedNames>
    <definedName name="_xlnm._FilterDatabase" localSheetId="4" hidden="1">Resultaat!$A$1:$G$24</definedName>
  </definedNames>
  <calcPr calcId="191029"/>
  <pivotCaches>
    <pivotCache cacheId="5" r:id="rId7"/>
    <pivotCache cacheId="1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r0Nm5IprUFOk15ctMopoTEjaXsKgWNY5RGM6eJ52ho="/>
    </ext>
  </extLst>
</workbook>
</file>

<file path=xl/calcChain.xml><?xml version="1.0" encoding="utf-8"?>
<calcChain xmlns="http://schemas.openxmlformats.org/spreadsheetml/2006/main">
  <c r="G30" i="3" l="1"/>
  <c r="F29" i="3"/>
  <c r="G29" i="3" s="1"/>
  <c r="F28" i="3"/>
  <c r="G28" i="3" s="1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K15" i="8"/>
  <c r="G33" i="3" l="1"/>
</calcChain>
</file>

<file path=xl/sharedStrings.xml><?xml version="1.0" encoding="utf-8"?>
<sst xmlns="http://schemas.openxmlformats.org/spreadsheetml/2006/main" count="4369" uniqueCount="1597">
  <si>
    <t>Categorie</t>
  </si>
  <si>
    <t>Therapeutisch?</t>
  </si>
  <si>
    <t>Boekingsdatum</t>
  </si>
  <si>
    <t>Bedrag</t>
  </si>
  <si>
    <t>Mededelingen</t>
  </si>
  <si>
    <t>Omzet</t>
  </si>
  <si>
    <t>Kosten opleiding en vorming</t>
  </si>
  <si>
    <t>BE09 7340 6292 8757</t>
  </si>
  <si>
    <t>Klein materiaal</t>
  </si>
  <si>
    <t>666-0000004-83</t>
  </si>
  <si>
    <t>BE75 7995 5010 1651</t>
  </si>
  <si>
    <t>LCM VP - ANMC AO</t>
  </si>
  <si>
    <t>Bankkosten</t>
  </si>
  <si>
    <t>Loon</t>
  </si>
  <si>
    <t>BE36 0639 8400 1781</t>
  </si>
  <si>
    <t>BE55 3100 1941 5244</t>
  </si>
  <si>
    <t>LNZ-UNMN</t>
  </si>
  <si>
    <t>Restaurant</t>
  </si>
  <si>
    <t>BE79 3632 2576 6833</t>
  </si>
  <si>
    <t>BE77 2100 9098 5042</t>
  </si>
  <si>
    <t>Interne storting</t>
  </si>
  <si>
    <t>Verzekering beroepsaansprakelijkheid</t>
  </si>
  <si>
    <t>Sociale bijdragen</t>
  </si>
  <si>
    <t>BE42 4027 5420 0154</t>
  </si>
  <si>
    <t>Acerta VAPZ</t>
  </si>
  <si>
    <t>Vrij Aanvullend Pensioen Zelfstandigen</t>
  </si>
  <si>
    <t>BE89 7755 9773 9885</t>
  </si>
  <si>
    <t>Acerta Sociaal Verzekeringsfonds Vzw</t>
  </si>
  <si>
    <t>Huur onroerend goed</t>
  </si>
  <si>
    <t>BE05 0682 4812 1175</t>
  </si>
  <si>
    <t>Sweele B.V.</t>
  </si>
  <si>
    <t>Relatiegeschenken</t>
  </si>
  <si>
    <t>Verkeerde rekening</t>
  </si>
  <si>
    <t>Drukwerk en publiciteit</t>
  </si>
  <si>
    <t>BE49 0012 1225 4971</t>
  </si>
  <si>
    <t>BE72 3100 4038 3816</t>
  </si>
  <si>
    <t>UNION NATIONALE DES</t>
  </si>
  <si>
    <t>Vervoer</t>
  </si>
  <si>
    <t>DE83 5007 0010 0175 9562 00</t>
  </si>
  <si>
    <t>BE49 7310 5930 5771</t>
  </si>
  <si>
    <t>BV grow training</t>
  </si>
  <si>
    <t>Medisch materiaal</t>
  </si>
  <si>
    <t>BE40 7340 3856 2963</t>
  </si>
  <si>
    <t>Apotheek De Vos</t>
  </si>
  <si>
    <t>BE42 2100 5945 1554</t>
  </si>
  <si>
    <t>Licenties software</t>
  </si>
  <si>
    <t>BE32 7331 2807 6002</t>
  </si>
  <si>
    <t>Allsoft Bvba</t>
  </si>
  <si>
    <t>BE22 0016 2609 3347</t>
  </si>
  <si>
    <t>NASTASE DANA-ANDREEA</t>
  </si>
  <si>
    <t>BE61 3632 0760 6817</t>
  </si>
  <si>
    <t>SOLIDARIS - UNION</t>
  </si>
  <si>
    <t>Boeken en tijdschriften</t>
  </si>
  <si>
    <t>Lemmens R-Deseyn G</t>
  </si>
  <si>
    <t>Onthaal</t>
  </si>
  <si>
    <t>AVEVE WILSELE</t>
  </si>
  <si>
    <t>Bureelbenodigdheden</t>
  </si>
  <si>
    <t>NV KESSEL LO FOODS</t>
  </si>
  <si>
    <t>GROW</t>
  </si>
  <si>
    <t>BE88 7330 6767 8041</t>
  </si>
  <si>
    <t>LACKO P + VANDERMEULEN A</t>
  </si>
  <si>
    <t>BE42 0689 0209 3054</t>
  </si>
  <si>
    <t>BE77 6512 0956 2442</t>
  </si>
  <si>
    <t>Vandendoorent-Wevers</t>
  </si>
  <si>
    <t>BE92 7340 1765 5423</t>
  </si>
  <si>
    <t>WEEMEEUW JUVA</t>
  </si>
  <si>
    <t>BE49 7340 2076 4271</t>
  </si>
  <si>
    <t>NACKOM CHARLOTTE</t>
  </si>
  <si>
    <t>BE84 6790 2621 5359</t>
  </si>
  <si>
    <t>RIZIV / INAMI</t>
  </si>
  <si>
    <t>BE16 9733 6450 0974</t>
  </si>
  <si>
    <t>BE95 7360 6242 8658</t>
  </si>
  <si>
    <t>DE KORT-SCHILLEBEECKX T + E</t>
  </si>
  <si>
    <t>BE68 7340 1384 4434</t>
  </si>
  <si>
    <t>VANDERMEEREN LIESBETH</t>
  </si>
  <si>
    <t>UNION NATIONALE DES MUTUALITES LIBRES</t>
  </si>
  <si>
    <t>SOLIDARIS BRABANT</t>
  </si>
  <si>
    <t>Mamzel bv</t>
  </si>
  <si>
    <t>BE98 0689 5286 6793</t>
  </si>
  <si>
    <t>Huis van Meraki</t>
  </si>
  <si>
    <t>Admin kosten</t>
  </si>
  <si>
    <t>Investeringen over 3 jaar</t>
  </si>
  <si>
    <t>Maatschap Huis van Meraki</t>
  </si>
  <si>
    <t>Telefonie</t>
  </si>
  <si>
    <t>SUM of Bedrag</t>
  </si>
  <si>
    <t>Afschrijving gsm 2023, 2024, 2025</t>
  </si>
  <si>
    <t>Orbea</t>
  </si>
  <si>
    <t>Afschrijving fiets 2023, 2024, 2025</t>
  </si>
  <si>
    <t>Huis van Meraki winst</t>
  </si>
  <si>
    <t>Resultaat:</t>
  </si>
  <si>
    <t>(blank)</t>
  </si>
  <si>
    <t>Grand Total</t>
  </si>
  <si>
    <t>Rekening</t>
  </si>
  <si>
    <t>Rekeninguittrekselnummer</t>
  </si>
  <si>
    <t>Transactienummer</t>
  </si>
  <si>
    <t>Rekening tegenpartij</t>
  </si>
  <si>
    <t>Naam tegenpartij bevat</t>
  </si>
  <si>
    <t>Straat en nummer</t>
  </si>
  <si>
    <t>Postcode en plaats</t>
  </si>
  <si>
    <t>Transactie</t>
  </si>
  <si>
    <t>Valutadatum</t>
  </si>
  <si>
    <t>Devies</t>
  </si>
  <si>
    <t>BIC</t>
  </si>
  <si>
    <t>Landcode</t>
  </si>
  <si>
    <t>BE05 0636 4778 9475</t>
  </si>
  <si>
    <t>00012</t>
  </si>
  <si>
    <t>476</t>
  </si>
  <si>
    <t>Dott bike bill 1 2</t>
  </si>
  <si>
    <t>1013CR Amsterdam</t>
  </si>
  <si>
    <t>EUR</t>
  </si>
  <si>
    <t>NL</t>
  </si>
  <si>
    <t>475</t>
  </si>
  <si>
    <t>Dott bike bill 2 2</t>
  </si>
  <si>
    <t>474</t>
  </si>
  <si>
    <t>NMBS SNCB WEB/APP BRUS</t>
  </si>
  <si>
    <t>1060  BRUSSEL</t>
  </si>
  <si>
    <t>BANCONTACT - AANKOOP - NMBS SNCB WEB/APP BRUS - 1060   BRUSSEL BE - 27/11/25 18:38 - VIA INTERNET - KAART     5169 20XX XXXX 5116 - Deseyn Goedele                   REF. : 0509542611866 VAL. 27-11</t>
  </si>
  <si>
    <t>BE</t>
  </si>
  <si>
    <t>473</t>
  </si>
  <si>
    <t>472</t>
  </si>
  <si>
    <t>471</t>
  </si>
  <si>
    <t>BANCONTACT - AANKOOP - NMBS SNCB WEB/APP BRUS - 1060   BRUSSEL BE - 27/11/25 08:02 - VIA INTERNET - KAART     5169 20XX XXXX 5116 - Deseyn Goedele                   REF. : 0509542610853 VAL. 27-11</t>
  </si>
  <si>
    <t>470</t>
  </si>
  <si>
    <t>OVERSCHRIJVING BELFIUS MOBILE NAAR BE36 0639 8400 1781 Lemmens R-Deseyn G November                            REF. : 09054468BQ647 VAL. 26-11</t>
  </si>
  <si>
    <t>GKCCBEBB</t>
  </si>
  <si>
    <t>November</t>
  </si>
  <si>
    <t>469</t>
  </si>
  <si>
    <t>NL95 DEUT 0265 2623 48</t>
  </si>
  <si>
    <t>STICHTING MOLLIE PAYMENTS</t>
  </si>
  <si>
    <t>KEIZERSGRACHT 1261015 CW  AMSTERDAM</t>
  </si>
  <si>
    <t>NETHERLANDS</t>
  </si>
  <si>
    <t>STORTING VAN NL95 DEUT 0265 2623 48 STICHTING MOLLIE   PAYMENTS Terugbetaling van uw bestelling metreferentie 2510043725 REF. : RE14874922571 NAAR                   BE05 0636 4778 9475 Deseyn Goedele                     REF. : 718130853 VAL. 26-11</t>
  </si>
  <si>
    <t>DEUTNL2A</t>
  </si>
  <si>
    <t>Terugbetaling van uw bestelling metreferentie 2510043725</t>
  </si>
  <si>
    <t>468</t>
  </si>
  <si>
    <t>JAN DAVIDTSSTRAAT       68</t>
  </si>
  <si>
    <t>3210  LUBBEEK</t>
  </si>
  <si>
    <t>STORTING VAN BE98 0689 5286 6793 Huis van Meraki       Terugbetaling Bar Blom                                 REF. : 09054576BQ365 VAL. 26-11</t>
  </si>
  <si>
    <t>Terugbetaling Bar Blom</t>
  </si>
  <si>
    <t>467</t>
  </si>
  <si>
    <t>BE46 0018 3970 5636</t>
  </si>
  <si>
    <t>Bar Blom</t>
  </si>
  <si>
    <t>INSTANT OVERSCHRIJVING BELFIUS MOBILE NAAR             BE46 0018 3970 5636 Bar Blom +++406/4065/79146+++      REF. : 09054986BQ105 VAL. 26-11</t>
  </si>
  <si>
    <t>GEBABEBB</t>
  </si>
  <si>
    <t>+++406/4065/79146+++</t>
  </si>
  <si>
    <t>466</t>
  </si>
  <si>
    <t>Avenue de Tervueren 211</t>
  </si>
  <si>
    <t>1050 Bruxelles</t>
  </si>
  <si>
    <t>STORTING VAN BE84 6790 2621 5359 RIZIV / INAMI         Telematicapremie - 2024 - Goedele Deseyn (400151-82)   REF.: GP003555905 NAAR BE05 0636 4778 9475 GOEDELE     DESEYN                                                 REF. : 716667007 VAL. 25-11</t>
  </si>
  <si>
    <t>PCHQBEBB</t>
  </si>
  <si>
    <t>Telematicapremie - 2024 - Goedele Deseyn (400151-82)</t>
  </si>
  <si>
    <t>465</t>
  </si>
  <si>
    <t>Wilselsesteenweg 75</t>
  </si>
  <si>
    <t>3010 Kessel Lo</t>
  </si>
  <si>
    <t>DOORLOPENDE BETALINGSOPDRACHT 15919897 NAAR            BE05 0682 4812 1175 Sweele B. V. Huur praktijk +       vergaderzaal                                           REF. : 08007BL010762 VAL. 24-11</t>
  </si>
  <si>
    <t>464</t>
  </si>
  <si>
    <t>BE85 1431 1370 3606</t>
  </si>
  <si>
    <t>OLIVIER DE WILDE</t>
  </si>
  <si>
    <t>Hoogveldstraat 27</t>
  </si>
  <si>
    <t>3020 HERENT</t>
  </si>
  <si>
    <t>STORTING VAN BE85 1431 1370 3606 OLIVIER DE WILDE      Babette 112025 NAAR BE05 0636 4778 9475 vroedvrouw     Goedele                                                REF. : 712184595 VAL. 21-11</t>
  </si>
  <si>
    <t>Babette 112025</t>
  </si>
  <si>
    <t>463</t>
  </si>
  <si>
    <t>OVERSCHRIJVING BELFIUS MOBILE NAAR BE36 0639 8400 1781 Lemmens R-Deseyn G November 2025                       REF. : 09054363BK207 VAL. 20-11</t>
  </si>
  <si>
    <t>November 2025</t>
  </si>
  <si>
    <t>462</t>
  </si>
  <si>
    <t>Dille en Kamille</t>
  </si>
  <si>
    <t>3000  LEUVEN</t>
  </si>
  <si>
    <t>BANCONTACT-AANKOOP - Dille en Kamille - 3000 LEUVEN BE - 19/11/25 16:02 - CONTACTLOOS VIA WALLET APPLE PAY -  KAART 5169 20XX XXXX 5116 - Deseyn Goedele             REF. : 0324766870000 VAL. 19-11</t>
  </si>
  <si>
    <t>461</t>
  </si>
  <si>
    <t>BOL.COM</t>
  </si>
  <si>
    <t>3528  BJ   UTRECHT</t>
  </si>
  <si>
    <t>BANCONTACT - AANKOOP - BOL. COM - 3528 BJ UTRECHT NL - 18/11/25 18:21 - VIA INTERNET - KAART 5169 20XX XXXX   5116 - Deseyn Goedele                                  REF. : 0320000000000 VAL. 18-11</t>
  </si>
  <si>
    <t>460</t>
  </si>
  <si>
    <t>Rue du Midi 111</t>
  </si>
  <si>
    <t>1000 BRUXELLES</t>
  </si>
  <si>
    <t>STORTING VAN BE42 2100 5945 1554 SOLIDARIS BRABANT     10024754657 EN/ZE 101 TP REF. : TP 0807475 NAAR        BE05 0636 4778 9475 M. DESEYN GOEDELE                  REF. : 703048486 VAL. 13-11</t>
  </si>
  <si>
    <t>10024754657 EN/ZE 101                                                                              TP</t>
  </si>
  <si>
    <t>459</t>
  </si>
  <si>
    <t>OVERSCHRIJVING BELFIUS MOBILE NAAR BE36 0639 8400 1781 Lemmens R-Deseyn G November 2025                       REF. : 09054767BA592 VAL. 10-11</t>
  </si>
  <si>
    <t>458</t>
  </si>
  <si>
    <t>BE55 9733 6180 1344</t>
  </si>
  <si>
    <t>DE VILLE - VAN HUYCK</t>
  </si>
  <si>
    <t>VAN DE CAUTERPLEIN 5</t>
  </si>
  <si>
    <t>3110 ROTSELAAR</t>
  </si>
  <si>
    <t>INSTANT STORTING VAN BE55 9733 6180 1344 DE VILLE -    VAN HUYCK Tatjana Van Huyck 112025 NAAR                BE05 0636 4778 9475 Vroedvrouw Goedele                 REF. : 080G7B7147451 VAL. 07-11</t>
  </si>
  <si>
    <t>ARSPBE22</t>
  </si>
  <si>
    <t>Tatjana Van Huyck 112025</t>
  </si>
  <si>
    <t>457</t>
  </si>
  <si>
    <t>BE12 0020 1201 2392</t>
  </si>
  <si>
    <t>ERIK VAN WIJK</t>
  </si>
  <si>
    <t>Bosweg 3</t>
  </si>
  <si>
    <t>3111 ROTSELAAR</t>
  </si>
  <si>
    <t>STORTING VAN BE12 0020 1201 2392 ERIK VAN WIJK Iris De Wandelaer 112025 NAAR BE05 0636 4778 9475 Deseyn       Goedele                                                REF. : 697251147 VAL. 07-11</t>
  </si>
  <si>
    <t>Iris De Wandelaer 112025</t>
  </si>
  <si>
    <t>456</t>
  </si>
  <si>
    <t>CH DE CHARLEROI 145</t>
  </si>
  <si>
    <t>1060        BRUXELLES</t>
  </si>
  <si>
    <t>STORTING VAN BE55 3100 1941 5244 LNZ-UNMN              0202525728058101202510 40015182000 0202525728058       804112507662 REF. : 2001104H669 NAAR                   BE05 0636 4778 9475 DESEYN GOEDELE                     REF. : 696554441 VAL. 06-11</t>
  </si>
  <si>
    <t>BBRUBEBB</t>
  </si>
  <si>
    <t>0202525728058101202510 40015182000 0202525728058 804112507662</t>
  </si>
  <si>
    <t>455</t>
  </si>
  <si>
    <t>RUE ST JEAN 32-38</t>
  </si>
  <si>
    <t>1000        BRUSSEL</t>
  </si>
  <si>
    <t>STORTING VAN BE61 3632 0760 6817 SOLIDARIS - UNION     000103592 EN/ZE 101 A SAL/SOLD REF. : 17 NAAR          BE05 0636 4778 9475 DESEYN GOEDELE                     REF. : 696516238 VAL. 06-11</t>
  </si>
  <si>
    <t>000103592 EN/ZE 101 A SAL/SOLD</t>
  </si>
  <si>
    <t>454</t>
  </si>
  <si>
    <t>BE74 3771 1935 5507</t>
  </si>
  <si>
    <t>MR BRUNO LI PIRA</t>
  </si>
  <si>
    <t>JAN DAVIDTSSTRAAT(LIN) 82</t>
  </si>
  <si>
    <t>3210        LINDEN</t>
  </si>
  <si>
    <t>INSTANT STORTING VAN BE74 3771 1935 5507 MR BRUNO LI   PIRA Emma Li Pira Pavlovic (Milica Pavlovic) 112025    REF.: 39ab12b8d43d408f9ce0e360362ab5a1 NAAR            BE05 0636 4778 9475 Goedele Deseyn                     REF. : 080G7B6284251 VAL. 06-11</t>
  </si>
  <si>
    <t>Emma Li Pira Pavlovic (Milica Pavlovic) 112025</t>
  </si>
  <si>
    <t>453</t>
  </si>
  <si>
    <t>BE87 1030 9718 6994</t>
  </si>
  <si>
    <t>Loenders - Melzani</t>
  </si>
  <si>
    <t>3010 Leuven</t>
  </si>
  <si>
    <t>STORTING VAN BE87 1030 9718 6994 Loenders - Melzani    +++002/5100/04029+++ NAAR BE05 0636 4778 9475          Vroedvrouw Goedele                                     REF. : 695708292 VAL. 06-11</t>
  </si>
  <si>
    <t>NICABEBB</t>
  </si>
  <si>
    <t>+++002/5100/04029+++</t>
  </si>
  <si>
    <t>452</t>
  </si>
  <si>
    <t>Rue Saint-Hubert 19</t>
  </si>
  <si>
    <t>1150 BRUXELLES</t>
  </si>
  <si>
    <t>STORTING VAN BE77 2100 9098 5042 UNION NATIONALE DES   MUTUALITES LIBRES 0202526240766101202510 40015182000   0202526240766 805112504440 REF. : 5001105E444 NAAR     BE05 0636 4778 9475 DESEYN GOEDELE                     REF. : 695567255 VAL. 06-11</t>
  </si>
  <si>
    <t>0202526240766101202510 40015182000 0202526240766 805112504440</t>
  </si>
  <si>
    <t>451</t>
  </si>
  <si>
    <t>450</t>
  </si>
  <si>
    <t>BE80 0019 1817 3077</t>
  </si>
  <si>
    <t>SAM STERCKVAL</t>
  </si>
  <si>
    <t>Roeselberg 1</t>
  </si>
  <si>
    <t>3390 TIELT-WINGE</t>
  </si>
  <si>
    <t>STORTING VAN BE80 0019 1817 3077 SAM STERCKVAL         Jokedecubber 112025 NAAR BE05 0636 4778 9475 Goedele   Deseyn                                                 REF. : 693774291 VAL. 05-11</t>
  </si>
  <si>
    <t>Jokedecubber 112025</t>
  </si>
  <si>
    <t>449</t>
  </si>
  <si>
    <t>LIVORNOSTRAAT 25</t>
  </si>
  <si>
    <t>1050        BRUSSEL</t>
  </si>
  <si>
    <t>STORTING VAN BE72 3100 4038 3816 UNION NATIONALE DES   0202525740789101202510 40015182000 0202525740789       804112505466 REF. : 4001104F471 NAAR                   BE05 0636 4778 9475 DESEYN GOEDELE                     REF. : 692875552 VAL. 04-11</t>
  </si>
  <si>
    <t>0202525740789101202510 40015182000 0202525740789 804112505466</t>
  </si>
  <si>
    <t>448</t>
  </si>
  <si>
    <t>BE96 7330 6992 4805</t>
  </si>
  <si>
    <t>BURGER NEDINE</t>
  </si>
  <si>
    <t>KONING ALBERTLAAN 194</t>
  </si>
  <si>
    <t>3010 KESSEL-LO</t>
  </si>
  <si>
    <t>INSTANT STORTING VAN BE96 7330 6992 4805 BURGER NEDINE +++002/5100/05039+++ NAAR BE05 0636 4778 9475          Vroedvrouw Goedele                                     REF. : 080G7B4152856 VAL. 04-11</t>
  </si>
  <si>
    <t>KREDBEBB</t>
  </si>
  <si>
    <t>+++002/5100/05039+++</t>
  </si>
  <si>
    <t>447</t>
  </si>
  <si>
    <t>BE79 7506 9759 2133</t>
  </si>
  <si>
    <t>Vanobbergen - Mattelaer</t>
  </si>
  <si>
    <t>3018 Leuven</t>
  </si>
  <si>
    <t>STORTING VAN BE79 7506 9759 2133 Vanobbergen -         Mattelaer Esther Mattelaer 112025 NAAR                 BE05 0636 4778 9475 Goedele Deseyn                     REF. : 692198048 VAL. 04-11</t>
  </si>
  <si>
    <t>AXABBE22</t>
  </si>
  <si>
    <t>Esther Mattelaer 112025</t>
  </si>
  <si>
    <t>446</t>
  </si>
  <si>
    <t>BE90 1030 8679 2032</t>
  </si>
  <si>
    <t>Deweerdt - Blomme</t>
  </si>
  <si>
    <t>3012 Leuven</t>
  </si>
  <si>
    <t>STORTING VAN BE90 1030 8679 2032 Deweerdt - Blomme     jana blomme 112025 NAAR BE05 0636 4778 9475 Goedele    Deseyn                                                 REF. : 692195833 VAL. 04-11</t>
  </si>
  <si>
    <t>jana blomme 112025</t>
  </si>
  <si>
    <t>445</t>
  </si>
  <si>
    <t>BE87 0017 3432 0994</t>
  </si>
  <si>
    <t>LAURA CEULEMANS</t>
  </si>
  <si>
    <t>VERDEDIGINGSWEG 31</t>
  </si>
  <si>
    <t>STORTING VAN BE87 0017 3432 0994 LAURA CEULEMANS Laura Ceulemans 112025 NAAR BE05 0636 4778 9475 vroedvrouw   goedele                                                REF. : 691869488 VAL. 04-11</t>
  </si>
  <si>
    <t>Laura Ceulemans 112025</t>
  </si>
  <si>
    <t>444</t>
  </si>
  <si>
    <t>BE47 3771 3417 4780</t>
  </si>
  <si>
    <t>MR AND MRS jan van elslander</t>
  </si>
  <si>
    <t>ROTSELAARSESTEENWEG 49</t>
  </si>
  <si>
    <t>3018        WIJGMAAL</t>
  </si>
  <si>
    <t>INSTANT STORTING VAN BE47 3771 3417 4780 MR AND MRS    jan van elslander +++002/5100/01908+++ REF. :          3d95c979048d43e1bb3cb6f5821d485a NAAR                  BE05 0636 4778 9475 Vroedvrouw Goedele                 REF. : 080G7B3582021 VAL. 03-11</t>
  </si>
  <si>
    <t>+++002/5100/01908+++</t>
  </si>
  <si>
    <t>443</t>
  </si>
  <si>
    <t>BE55 7370 6532 9644</t>
  </si>
  <si>
    <t>TZIGKORI KALLIOPI</t>
  </si>
  <si>
    <t>SPAANSE-BURCHTLAAN 33</t>
  </si>
  <si>
    <t>3000 LEUVEN</t>
  </si>
  <si>
    <t>INSTANT STORTING VAN BE55 7370 6532 9644 TZIGKORI      KALLIOPI +++002/5100/05645+++ NAAR BE05 0636 4778 9475 Vroedvrouw Goedele                                     REF. : 080G7B3577683 VAL. 03-11</t>
  </si>
  <si>
    <t>+++002/5100/05645+++</t>
  </si>
  <si>
    <t>00011</t>
  </si>
  <si>
    <t>442</t>
  </si>
  <si>
    <t>BE86 7370 6654 2750</t>
  </si>
  <si>
    <t>MENICHETTI A + LAPORTE M</t>
  </si>
  <si>
    <t>JOZEF PIERRESTRAAT 63</t>
  </si>
  <si>
    <t>INSTANT STORTING VAN BE86 7370 6654 2750 MENICHETTI A  + LAPORTE M +++002/5100/01403+++ NAAR                  BE05 0636 4778 9475 Vroedvrouw Goedele                 REF. : 080G7B3450774 VAL. 03-11</t>
  </si>
  <si>
    <t>+++002/5100/01403+++</t>
  </si>
  <si>
    <t>441</t>
  </si>
  <si>
    <t>BE89 7340 1423 7585</t>
  </si>
  <si>
    <t>CAMMAERTS LINDA</t>
  </si>
  <si>
    <t>KAPELLEWEG 5</t>
  </si>
  <si>
    <t>3090 OVERIJSE</t>
  </si>
  <si>
    <t>STORTING VIA WERO VAN BE89 7340 1423 7585 CAMMAERTS    LINDA Wero CAMMAERTS LINDA REF. :                      a02866e3e88749779b574cd3f76211c4 NAAR                  BE05 0636 4778 9475 Goedele Deseyn                     REF. : 080G7B3412134 VAL. 03-11</t>
  </si>
  <si>
    <t>Wero CAMMAERTS LINDA</t>
  </si>
  <si>
    <t>440</t>
  </si>
  <si>
    <t>LCM - ANMC</t>
  </si>
  <si>
    <t>-</t>
  </si>
  <si>
    <t>1030 SCHAERBEEK-SCHAARBEEK</t>
  </si>
  <si>
    <t>439</t>
  </si>
  <si>
    <t>BE74 7360 7192 9507</t>
  </si>
  <si>
    <t>MEES-VERBEECK BEN + SOFIE</t>
  </si>
  <si>
    <t>JAN DAVIDTSSTRAAT 81C</t>
  </si>
  <si>
    <t>INSTANT STORTING VAN BE74 7360 7192 9507 MEES-VERBEECK BEN + SOFIE +++002/5100/02918+++ NAAR                  BE05 0636 4778 9475 Vroedvrouw Goedele                 REF. : 080G7B3278493 VAL. 03-11</t>
  </si>
  <si>
    <t>+++002/5100/02918+++</t>
  </si>
  <si>
    <t>438</t>
  </si>
  <si>
    <t>BE36 1030 3140 0281</t>
  </si>
  <si>
    <t>Mevr. Mariska D'hooghe</t>
  </si>
  <si>
    <t>3000 Leuven</t>
  </si>
  <si>
    <t>STORTING VAN BE36 1030 3140 0281 Mevr. Mariska         D'hooghe +++002/5090/00683+++ NAAR BE05 0636 4778 9475 Vroedvrouw Goedele                                     REF. : 690054411 VAL. 03-11</t>
  </si>
  <si>
    <t>+++002/5090/00683+++</t>
  </si>
  <si>
    <t>437</t>
  </si>
  <si>
    <t>BE75 7350 4216 2551</t>
  </si>
  <si>
    <t>VAN ERMEN M + VANDEVELDE L</t>
  </si>
  <si>
    <t>LEEUWERIKENSTRAAT 84</t>
  </si>
  <si>
    <t>3001 HEVERLEE</t>
  </si>
  <si>
    <t>INSTANT STORTING VAN BE75 7350 4216 2551 VAN ERMEN M + VANDEVELDE L Lore Vandevelde 102025 NAAR               BE05 0636 4778 9475 VROEDVROUW GOEDELE                 REF. : 080G7B3118314 VAL. 03-11</t>
  </si>
  <si>
    <t>Lore Vandevelde 102025</t>
  </si>
  <si>
    <t>436</t>
  </si>
  <si>
    <t>MASTERCARD AFREKENING NUMMER 298                       REF. : 08075B3060990 VAL. 03-11</t>
  </si>
  <si>
    <t>BSYSBEB1</t>
  </si>
  <si>
    <t>435</t>
  </si>
  <si>
    <t>OVERSCHRIJVING BELFIUS MOBILE NAAR BE36 0639 8400 1781 Lemmens R-Deseyn G Oktober 2025                        REF. : 09054961AV788 VAL. 31-10</t>
  </si>
  <si>
    <t>Oktober 2025</t>
  </si>
  <si>
    <t>434</t>
  </si>
  <si>
    <t>BE33 7370 5189 5346</t>
  </si>
  <si>
    <t>PESEK - ZURNIC P + S</t>
  </si>
  <si>
    <t>PLATTE LOSTRAAT 274</t>
  </si>
  <si>
    <t>INSTANT STORTING VAN BE33 7370 5189 5346 PESEK -       ZURNIC P + S +++002/5080/02997+++ NAAR                 BE05 0636 4778 9475 GOEDELE DESEYN                     REF. : 080G7AU240470 VAL. 30-10</t>
  </si>
  <si>
    <t>+++002/5080/02997+++</t>
  </si>
  <si>
    <t>433</t>
  </si>
  <si>
    <t>BE78 7340 6824 7286</t>
  </si>
  <si>
    <t>REDA HAILU</t>
  </si>
  <si>
    <t>SCHAPENSTRAAT 35</t>
  </si>
  <si>
    <t>INSTANT STORTING VAN BE78 7340 6824 7286 REDA HAILU    +++002/5090/02097+++ NAAR BE05 0636 4778 9475          Vroedvrouw Goedele                                     REF. : 080G7AU088957 VAL. 30-10</t>
  </si>
  <si>
    <t>+++002/5090/02097+++</t>
  </si>
  <si>
    <t>432</t>
  </si>
  <si>
    <t>BE27 0636 0414 8973</t>
  </si>
  <si>
    <t>Viswanadhan Nair Mithra</t>
  </si>
  <si>
    <t>WILDENHOGE              34</t>
  </si>
  <si>
    <t>3020  HERENT</t>
  </si>
  <si>
    <t>INSTANT STORTING VAN BE27 0636 0414 8973 Viswanadhan   Nair Mithra +++002/5080/01684+++ NAAR                  BE05 0636 4778 9475 Vroedvrouw Goedele                 REF. : 09054340ATA65 VAL. 29-10</t>
  </si>
  <si>
    <t>+++002/5080/01684+++</t>
  </si>
  <si>
    <t>431</t>
  </si>
  <si>
    <t>INSTANT STORTING VAN BE27 0636 0414 8973 Viswanadhan   Nair Mithra +++002/5090/01996+++ NAAR                  BE05 0636 4778 9475 Vroedvrouw Goedele                 REF. : 09054794AT979 VAL. 29-10</t>
  </si>
  <si>
    <t>+++002/5090/01996+++</t>
  </si>
  <si>
    <t>430</t>
  </si>
  <si>
    <t>BE95 9733 5481 8758</t>
  </si>
  <si>
    <t>VAN CRIEKINGE - SNEYAERT</t>
  </si>
  <si>
    <t>BRANDENSTRAAT 63</t>
  </si>
  <si>
    <t>3012 WILSELE</t>
  </si>
  <si>
    <t>INSTANT STORTING VAN BE95 9733 5481 8758 VAN CRIEKINGE - SNEYAERT +++002/5090/00279+++ NAAR                   BE05 0636 4778 9475 vroedvrouw Goedele                 REF. : 080G7AT330834 VAL. 29-10</t>
  </si>
  <si>
    <t>+++002/5090/00279+++</t>
  </si>
  <si>
    <t>429</t>
  </si>
  <si>
    <t>OVERSCHRIJVING BELFIUS MOBILE NAAR BE36 0639 8400 1781 Lemmens R-Deseyn G Oktober 2025                        REF. : 09054947AR229 VAL. 27-10</t>
  </si>
  <si>
    <t>428</t>
  </si>
  <si>
    <t>DOORLOPENDE BETALINGSOPDRACHT 15919897 NAAR            BE05 0682 4812 1175 Sweele B. V. Huur praktijk +       vergaderzaal                                           REF. : 08007AN005487 VAL. 24-10</t>
  </si>
  <si>
    <t>427</t>
  </si>
  <si>
    <t>BE39 0017 6917 5219</t>
  </si>
  <si>
    <t>SWERTS-TUTELEERS</t>
  </si>
  <si>
    <t>Herfstlaan 4</t>
  </si>
  <si>
    <t>3010 LEUVEN</t>
  </si>
  <si>
    <t>STORTING VAN BE39 0017 6917 5219 SWERTS-TUTELEERS      Chloe Tuteleers 092025 NAAR BE05 0636 4778 9475        goedele deseyn                                         REF. : 672039790 VAL. 20-10</t>
  </si>
  <si>
    <t>Chloe Tuteleers 092025</t>
  </si>
  <si>
    <t>426</t>
  </si>
  <si>
    <t>Lemmens - Deseyn</t>
  </si>
  <si>
    <t>WILSELSESTEENWEG   75/0001</t>
  </si>
  <si>
    <t>3010  KESSEL-LO (LEUVEN)</t>
  </si>
  <si>
    <t>STORTING VAN BE36 0639 8400 1781 Lemmens - Deseyn      Terugbetaling Twothirds                                REF. : 09054242AI167 VAL. 18-10</t>
  </si>
  <si>
    <t>Terugbetaling Twothirds</t>
  </si>
  <si>
    <t>425</t>
  </si>
  <si>
    <t>OVERSCHRIJVING BELFIUS MOBILE NAAR BE36 0639 8400 1781 Lemmens R-Deseyn G Oktober 2025                        REF. : 09054573AI165 VAL. 18-10</t>
  </si>
  <si>
    <t>424</t>
  </si>
  <si>
    <t>Standaard Boekhandel</t>
  </si>
  <si>
    <t>OVERSCHRIJVING E-COMMERCE NAAR BE42 0689 0209 3054     Standaard Boekhandel M03718494MP5H3OV Order number:    2510043725                                             REF. : 09054598AE433 VAL. 14-10</t>
  </si>
  <si>
    <t>M03718494MP5H3OV Order number: 2510043725</t>
  </si>
  <si>
    <t>423</t>
  </si>
  <si>
    <t>INSTANT OVERSCHRIJVING BELFIUS MOBILE NAAR             BE64 4027 5260 9152 Acerta Sociaal Verzekeringsfonds   Vzw +++821/0060/90514+++                               REF. : 09054881AE349 VAL. 14-10</t>
  </si>
  <si>
    <t>+++821/0060/90514+++</t>
  </si>
  <si>
    <t>422</t>
  </si>
  <si>
    <t>BANCONTACT - AANKOOP - BOL. COM - 3528 BJ UTRECHT NL - 14/10/25 10:52 - VIA INTERNET - KAART 5169 20XX XXXX   5116 - Deseyn Goedele                                  REF. : 0320000000000 VAL. 14-10</t>
  </si>
  <si>
    <t>421</t>
  </si>
  <si>
    <t>BE61 7370 5876 9717</t>
  </si>
  <si>
    <t>PEDDLE ALLYSON</t>
  </si>
  <si>
    <t>SLUISSTRAAT 24</t>
  </si>
  <si>
    <t>INSTANT STORTING VAN BE61 7370 5876 9717 PEDDLE        ALLYSON Allyson peddle 092025 NAAR BE05 0636 4778 9475 Goedele Deseyn                                         REF. : 080G7AE039602 VAL. 14-10</t>
  </si>
  <si>
    <t>Allyson peddle 092025</t>
  </si>
  <si>
    <t>420</t>
  </si>
  <si>
    <t>INSTANT STORTING VAN BE55 9733 6180 1344 DE VILLE -    VAN HUYCK +++002/5090/02707+++ NAAR                    BE05 0636 4778 9475 Vroedvrouw Goedele                 REF. : 080G7AD359960 VAL. 13-10</t>
  </si>
  <si>
    <t>+++002/5090/02707+++</t>
  </si>
  <si>
    <t>419</t>
  </si>
  <si>
    <t>BE53 3770 5856 0553</t>
  </si>
  <si>
    <t>MME SILVIA OLIVIERI</t>
  </si>
  <si>
    <t>BONDGENOTENLAAN 169/601</t>
  </si>
  <si>
    <t>3000        LEUVEN</t>
  </si>
  <si>
    <t>INSTANT STORTING VAN BE53 3770 5856 0553 MME SILVIA    OLIVIERI +++002/5090/00178+++ REF. :                   2a3fe2925c0d4eab946cb15d14e5c9d2 NAAR                  BE05 0636 4778 9475 Vroedvrouw Goedele                 REF. : 080G7AB256581 VAL. 11-10</t>
  </si>
  <si>
    <t>+++002/5090/00178+++</t>
  </si>
  <si>
    <t>418</t>
  </si>
  <si>
    <t>STORTING VAN BE42 2100 5945 1554 SOLIDARIS BRABANT     10024331294 EN/ZE 091 TP REF. : TP 0807475 NAAR        BE05 0636 4778 9475 M. DESEYN GOEDELE                  REF. : 662466268 VAL. 10-10</t>
  </si>
  <si>
    <t>10024331294 EN/ZE 091                                                                              TP</t>
  </si>
  <si>
    <t>417</t>
  </si>
  <si>
    <t>BE39 9731 8123 3319</t>
  </si>
  <si>
    <t>JULIE VERLINDEN</t>
  </si>
  <si>
    <t>GOBBELSRODE 39/A000</t>
  </si>
  <si>
    <t>3220 KORTRIJK-DUTSEL</t>
  </si>
  <si>
    <t>INSTANT STORTING VAN BE39 9731 8123 3319 JULIE         VERLINDEN Julie Verlinden 092025 NAAR                  BE05 0636 4778 9475 Vroedvrouw Goedele                 REF. : 080G7A9229197 VAL. 09-10</t>
  </si>
  <si>
    <t>Julie Verlinden 092025</t>
  </si>
  <si>
    <t>416</t>
  </si>
  <si>
    <t>BE80 7340 5604 3777</t>
  </si>
  <si>
    <t>ROHAERT ZINKE</t>
  </si>
  <si>
    <t>BRUINEVELD 26</t>
  </si>
  <si>
    <t>INSTANT STORTING VAN BE80 7340 5604 3777 ROHAERT ZINKE Zinke Rohaert 092025 NAAR BE05 0636 4778 9475 Goedele  Deseyn                                                 REF. : 080G7A9141083 VAL. 09-10</t>
  </si>
  <si>
    <t>Zinke Rohaert 092025</t>
  </si>
  <si>
    <t>415</t>
  </si>
  <si>
    <t>STERCKVAL-DECUBBER</t>
  </si>
  <si>
    <t>STORTING VAN BE80 0019 1817 3077 STERCKVAL-DECUBBER    Joke Decubber 092025 NAAR BE05 0636 4778 9475 Goedele  REF. : 661029135 VAL. 09-10</t>
  </si>
  <si>
    <t>Joke Decubber 092025</t>
  </si>
  <si>
    <t>414</t>
  </si>
  <si>
    <t>VAN WIJK-DE WANDELAER</t>
  </si>
  <si>
    <t>STORTING VAN BE12 0020 1201 2392 VAN WIJK-DE WANDELAER iris De Wandelaer 092025 NAAR BE05 0636 4778 9475      goedele deseyn                                         REF. : 661018012 VAL. 09-10</t>
  </si>
  <si>
    <t>iris De Wandelaer 092025</t>
  </si>
  <si>
    <t>413</t>
  </si>
  <si>
    <t>BE13 0636 6798 1239</t>
  </si>
  <si>
    <t>DEWITTE - De Kock</t>
  </si>
  <si>
    <t>STEENWEG OP NIEUWRODE  164</t>
  </si>
  <si>
    <t>3111  WEZEMAAL</t>
  </si>
  <si>
    <t>INSTANT STORTING VAN BE13 0636 6798 1239 DEWITTE - De  Kock +++002/5090/00986+++ NAAR BE05 0636 4778 9475     Vroedvrouw Goedele                                     REF. : 09054114A8A53 VAL. 08-10</t>
  </si>
  <si>
    <t>+++002/5090/00986+++</t>
  </si>
  <si>
    <t>412</t>
  </si>
  <si>
    <t>Wilselsesteenweg 142</t>
  </si>
  <si>
    <t>INSTANT OVERSCHRIJVING BELFIUS MOBILE NAAR             BE40 7340 3856 2963 Apotheek De Vos Wilselsesteenweg   142 3010 Kessel Lo BE 2025034                          REF. : 09054005A8719 VAL. 08-10</t>
  </si>
  <si>
    <t>2025034</t>
  </si>
  <si>
    <t>411</t>
  </si>
  <si>
    <t>STORTING VAN BE98 0689 5286 6793 Huis van Meraki       202510001                                              REF. : 09054741A8686 VAL. 08-10</t>
  </si>
  <si>
    <t>202510001</t>
  </si>
  <si>
    <t>410</t>
  </si>
  <si>
    <t>MONTESSORI LEUVEN</t>
  </si>
  <si>
    <t>INSTANT OVERSCHRIJVING BELFIUS MOBILE NAAR             BE16 9733 6450 0974 MONTESSORI LEUVEN Spons2417        REF. : 09054109A8754 VAL. 08-10</t>
  </si>
  <si>
    <t>Spons2417</t>
  </si>
  <si>
    <t>409</t>
  </si>
  <si>
    <t>MASTERCARD AFREKENING NUMMER 268                       REF. : 08075A8040879 VAL. 08-10</t>
  </si>
  <si>
    <t>408</t>
  </si>
  <si>
    <t>STORTING VAN BE77 2100 9098 5042 UNION NATIONALE DES   MUTUALITES LIBRES 0202526097912091202509 40015182000   0202526097912 807102504067 REF. : 5001007E071 NAAR     BE05 0636 4778 9475 DESEYN GOEDELE                     REF. : 659665174 VAL. 08-10</t>
  </si>
  <si>
    <t>0202526097912091202509 40015182000 0202526097912 807102504067</t>
  </si>
  <si>
    <t>407</t>
  </si>
  <si>
    <t>RUE ST JEAN 32 38</t>
  </si>
  <si>
    <t>1000        BRUXELLES</t>
  </si>
  <si>
    <t>STORTING VAN BE61 3632 0760 6817 SOLIDARIS - UNION     000092038 EN/ZE 091 A SAL/SOLD REF. : 346 NAAR         BE05 0636 4778 9475 DESEYN GOEDELE                     REF. : 658630821 VAL. 07-10</t>
  </si>
  <si>
    <t>000092038 EN/ZE 091 A SAL/SOLD</t>
  </si>
  <si>
    <t>406</t>
  </si>
  <si>
    <t>BE94 7340 5489 2814</t>
  </si>
  <si>
    <t>DOUMEN-MARENT M + S</t>
  </si>
  <si>
    <t>FAZANTENLAAN 34</t>
  </si>
  <si>
    <t>INSTANT STORTING VAN BE94 7340 5489 2814 DOUMEN-MARENT M + S Sarah Marent 092025 NAAR BE05 0636 4778 9475     VROEDVROUW GOEDELE                                     REF. : 080G7A7292053 VAL. 07-10</t>
  </si>
  <si>
    <t>Sarah Marent 092025</t>
  </si>
  <si>
    <t>405</t>
  </si>
  <si>
    <t>STORTING VAN BE55 3100 1941 5244 LNZ-UNMN              0202525643365091202509 40015182000 0202525643365       806102504248 REF. : 2001006E252 NAAR                   BE05 0636 4778 9475 DESEYN GOEDELE                     REF. : 657786769 VAL. 07-10</t>
  </si>
  <si>
    <t>0202525643365091202509 40015182000 0202525643365 806102504248</t>
  </si>
  <si>
    <t>404</t>
  </si>
  <si>
    <t>BE63 7310 1110 0108</t>
  </si>
  <si>
    <t>BEULLENS KARLIEN</t>
  </si>
  <si>
    <t>VERENIGINGSTRAAT 11</t>
  </si>
  <si>
    <t>INSTANT STORTING VAN BE63 7310 1110 0108 BEULLENS      KARLIEN Karlien Beullens 09 2025 NAAR                  BE05 0636 4778 9475 vroedvrouw goedele                 REF. : 080G7A7033051 VAL. 07-10</t>
  </si>
  <si>
    <t>Karlien Beullens 09 2025</t>
  </si>
  <si>
    <t>403</t>
  </si>
  <si>
    <t>OVERSCHRIJVING BELFIUS MOBILE NAAR BE36 0639 8400 1781 Lemmens R-Deseyn G Terugbetaling noodhotel Micheluzzi  REF. : 09054775A6A99 VAL. 06-10</t>
  </si>
  <si>
    <t>Terugbetaling noodhotel Micheluzzi</t>
  </si>
  <si>
    <t>402</t>
  </si>
  <si>
    <t>00010</t>
  </si>
  <si>
    <t>401</t>
  </si>
  <si>
    <t>OVERSCHRIJVING BELFIUS MOBILE NAAR BE36 0639 8400 1781 Lemmens R-Deseyn G September 2025                      REF. : 09054642A3784 VAL. 03-10</t>
  </si>
  <si>
    <t>September 2025</t>
  </si>
  <si>
    <t>400</t>
  </si>
  <si>
    <t>399</t>
  </si>
  <si>
    <t>BELGISCHE VEREN</t>
  </si>
  <si>
    <t>BANCONTACT AANKOOP - BELGISCHE VEREN - 3020 HERENT BE  - 30/09/25 19:00 - 6453132BVLcongres6november2025 -    VIA INTERNET - KAART 5169 20XX XXXX 5116 - Deseyn      Goedele                                                REF. : 051RMINAL0000 VAL. 30-09</t>
  </si>
  <si>
    <t>398</t>
  </si>
  <si>
    <t>INSTANT OVERSCHRIJVING BELFIUS MOBILE NAAR             BE40 7340 3856 2963 Apotheek De Vos 2025034            REF. : 090543739U889 VAL. 30-09</t>
  </si>
  <si>
    <t>397</t>
  </si>
  <si>
    <t>BE33 4310 6882 9146</t>
  </si>
  <si>
    <t>Vereniging Steinerpedagogie</t>
  </si>
  <si>
    <t>INSTANT OVERSCHRIJVING BELFIUS MOBILE NAAR             BE33 4310 6882 9146 Vereniging Steinerpedagogie        26700007 sponsoring                                    REF. : 090546359T664 VAL. 29-09</t>
  </si>
  <si>
    <t>26700007 sponsoring</t>
  </si>
  <si>
    <t>396</t>
  </si>
  <si>
    <t>OVERSCHRIJVING PAYCONIQ NAAR BE79 3632 2576 6833 AVEVE WILSELE Payconiq 68d801b206b07a78a4c1c042 AVEVE        WILSELE 49332597499 68d801b206b07a78a4c1c042           REF. : 090554259R039 VAL. 29-09</t>
  </si>
  <si>
    <t>Payconiq 68d801b206b07a78a4c1c042 AVEVE WILSELE           49332597499</t>
  </si>
  <si>
    <t>395</t>
  </si>
  <si>
    <t>BANCONTACT AANKOOP - BOL. COM - 3528 BJ UTRECHT NL -   27/09/25 15:53 - VIA INTERNET - KAART 5169 20XX XXXX   5116 - Deseyn Goedele                                  REF. : 0320000000000 VAL. 27-09</t>
  </si>
  <si>
    <t>394</t>
  </si>
  <si>
    <t>INSTANT OVERSCHRIJVING BELFIUS MOBILE NAAR             BE49 7310 5930 5771 GROW +++025/0853/02665+++          REF. : 090545099P103 VAL. 25-09</t>
  </si>
  <si>
    <t>+++025/0853/02665+++</t>
  </si>
  <si>
    <t>393</t>
  </si>
  <si>
    <t>campus Liza</t>
  </si>
  <si>
    <t>3001 Genk</t>
  </si>
  <si>
    <t>392</t>
  </si>
  <si>
    <t>DOORLOPENDE BETALINGSOPDRACHT 15919897 NAAR            BE05 0682 4812 1175 Sweele B. V. Huur praktijk +       vergaderzaal                                           REF. : 080079N003823 VAL. 24-09</t>
  </si>
  <si>
    <t>391</t>
  </si>
  <si>
    <t>OVERSCHRIJVING BELFIUS MOBILE NAAR BE36 0639 8400 1781 Lemmens R-Deseyn G Terugbetaling As Adventure          REF. : 090549309N898 VAL. 23-09</t>
  </si>
  <si>
    <t>Terugbetaling As Adventure</t>
  </si>
  <si>
    <t>390</t>
  </si>
  <si>
    <t>BE64 7330 3379 7052</t>
  </si>
  <si>
    <t>Pluxee Belgium Nv</t>
  </si>
  <si>
    <t>INSTANT OVERSCHRIJVING BELFIUS MOBILE NAAR             BE64 7330 3379 7052 Pluxee Belgium Nv                  +++180/2051/22869+++                                   REF. : 090545349N416 VAL. 23-09</t>
  </si>
  <si>
    <t>+++180/2051/22869+++</t>
  </si>
  <si>
    <t>389</t>
  </si>
  <si>
    <t>UC LIMBURG</t>
  </si>
  <si>
    <t>3590  DIEPENBEEK</t>
  </si>
  <si>
    <t>BANCONTACT AANKOOP - UC LIMBURG - 3590 DIEPENBEEK BE - 23/09/25 10:57 - VIA INTERNET - KAART 5169 20XX XXXX   5116 - Deseyn Goedele                                  REF. : 0049997741051 VAL. 23-09</t>
  </si>
  <si>
    <t>388</t>
  </si>
  <si>
    <t>OVERSCHRIJVING BELFIUS MOBILE NAAR BE36 0639 8400 1781 Lemmens R-Deseyn G Bijzetten                           REF. : 090549519J585 VAL. 19-09</t>
  </si>
  <si>
    <t>Bijzetten</t>
  </si>
  <si>
    <t>387</t>
  </si>
  <si>
    <t>SNCBPPSEWEBPROD</t>
  </si>
  <si>
    <t>BANCONTACT AANKOOP - SNCBPPSEWEBPROD - 1060 BRUSSEL BE - 18/09/25 22:51 - VIA INTERNET - KAART 5169 20XX XXXX 5116 - Deseyn Goedele                                  REF. : 0509542612285 VAL. 18-09</t>
  </si>
  <si>
    <t>386</t>
  </si>
  <si>
    <t>BANCONTACT AANKOOP - SNCBPPSEWEBPROD - 1060 BRUSSEL BE - 18/09/25 16:04 - VIA INTERNET - KAART 5169 20XX XXXX 5116 - Deseyn Goedele                                  REF. : 0509542611698 VAL. 18-09</t>
  </si>
  <si>
    <t>385</t>
  </si>
  <si>
    <t>BE16 0019 1682 4474</t>
  </si>
  <si>
    <t>CUYCKENS-DE NYS</t>
  </si>
  <si>
    <t>WATERSTRAAT 15</t>
  </si>
  <si>
    <t>1910 KAMPENHOUT</t>
  </si>
  <si>
    <t>STORTING VIA WERO VAN BE16 0019 1682 4474 CUYCKENS-DE  NYS Wero Goedele Deseyn REF. :                         be4a8300ca2043dca86ff005b737cb4d NAAR                  BE05 0636 4778 9475 Goedele Deseyn                     REF. : 080G79I178812 VAL. 18-09</t>
  </si>
  <si>
    <t>Wero Goedele Deseyn</t>
  </si>
  <si>
    <t>384</t>
  </si>
  <si>
    <t>BE30 7330 6468 7411</t>
  </si>
  <si>
    <t>GOOSSENS YASMINE</t>
  </si>
  <si>
    <t>LANGERHEIDE 23</t>
  </si>
  <si>
    <t>3150 HAACHT</t>
  </si>
  <si>
    <t>STORTING VIA WERO VAN BE30 7330 6468 7411 GOOSSENS     YASMINE Wero GOOSSENS YASMINE REF. :                   0d661eb324104e7d871bdea618251e49 NAAR                  BE05 0636 4778 9475 Goedele Deseyn                     REF. : 080G79I121083 VAL. 18-09</t>
  </si>
  <si>
    <t>Wero GOOSSENS YASMINE</t>
  </si>
  <si>
    <t>383</t>
  </si>
  <si>
    <t>Rte de Lennik 788</t>
  </si>
  <si>
    <t>1070 ANDERLECHT</t>
  </si>
  <si>
    <t>STORTING VAN BE77 2100 9098 5042 UNION NATIONALE DES   MUTUALITES LIBRES DB VP 02526015288                    /0202507/0202526015288/400151820 00 0202526015288      816092510680 REF. : 5000916K690 NAAR                   BE05 0636 4778 9475 DESEYN GOEDELE                     REF. : 632577328 VAL. 17-09</t>
  </si>
  <si>
    <t>DB VP 02526015288 /0202507/0202526015288/40015182000 0202526015288 816092510680</t>
  </si>
  <si>
    <t>382</t>
  </si>
  <si>
    <t>BANCONTACT AANKOOP - BOL. COM - 3528 BJ UTRECHT NL -   15/09/25 15:39 - VIA INTERNET - KAART 5169 20XX XXXX   5116 - Deseyn Goedele                                  REF. : 0320000000000 VAL. 15-09</t>
  </si>
  <si>
    <t>381</t>
  </si>
  <si>
    <t>BE15 7370 7147 8030</t>
  </si>
  <si>
    <t>GEESSELS-VAN MEERBEEK G + L</t>
  </si>
  <si>
    <t>TESSENSTRAAT 11</t>
  </si>
  <si>
    <t>STORTING VIA WERO VAN BE15 7370 7147 8030 GEESSELS-VAN MEERBEEK G + L Wero VAN MEERBEEK LORE REF. :           ca11fde2a1e24de1b7b2fd0199c51e8e NAAR                  BE05 0636 4778 9475 Goedele Deseyn                     REF. : 080G79F207692 VAL. 15-09</t>
  </si>
  <si>
    <t>Wero VAN MEERBEEK LORE</t>
  </si>
  <si>
    <t>380</t>
  </si>
  <si>
    <t>OVERSCHRIJVING BELFIUS MOBILE NAAR BE36 0639 8400 1781 Lemmens R-Deseyn G Terugbetaling zwanger in Brussel    opleiding                                              REF. : 090544369F245 VAL. 15-09</t>
  </si>
  <si>
    <t>Terugbetaling zwanger in Brussel opleiding</t>
  </si>
  <si>
    <t>379</t>
  </si>
  <si>
    <t>Klim- en Bergsportfederati</t>
  </si>
  <si>
    <t>OVERSCHRIJVING E-COMMERCE NAAR BE42 0689 0209 3054     Klim- en Bergsportfederati M12759398MOUT1GJ KBF        Lidgeld                                                REF. : 090546059D314 VAL. 13-09</t>
  </si>
  <si>
    <t>M12759398MOUT1GJ KBF Lidgeld</t>
  </si>
  <si>
    <t>378</t>
  </si>
  <si>
    <t>BE55 7370 5915 0744</t>
  </si>
  <si>
    <t>VAN DER BREMPT-STEENBERGHS G + N</t>
  </si>
  <si>
    <t>J.-B. VAN MONSSTRAAT 77</t>
  </si>
  <si>
    <t>INSTANT STORTING VAN BE55 7370 5915 0744 VAN DER       BREMPT-STEENBERGHS G + N Nina Steenberghs 082025 NAAR  BE05 0636 4778 9475 Goedele                            REF. : 080G79C040517 VAL. 12-09</t>
  </si>
  <si>
    <t>Nina Steenberghs 082025</t>
  </si>
  <si>
    <t>377</t>
  </si>
  <si>
    <t>STORTING VAN BE42 2100 5945 1554 SOLIDARIS BRABANT     10023959955 EN/ZE 081 TP REF. : TP 0807475 NAAR        BE05 0636 4778 9475 M. DESEYN GOEDELE                  REF. : 626469741 VAL. 11-09</t>
  </si>
  <si>
    <t>10023959955 EN/ZE 081                                                                              TP</t>
  </si>
  <si>
    <t>376</t>
  </si>
  <si>
    <t>OVERSCHRIJVING BELFIUS MOBILE NAAR BE36 0639 8400 1781 Lemmens R-Deseyn G Bijzetten                           REF. : 0905442899328 VAL. 09-09</t>
  </si>
  <si>
    <t>375</t>
  </si>
  <si>
    <t>STORTING VAN BE80 0019 1817 3077 STERCKVAL-DECUBBER    +++002/5080/00775+++ NAAR BE05 0636 4778 9475          Vroedvrouw Goedele                                     REF. : 623945405 VAL. 09-09</t>
  </si>
  <si>
    <t>+++002/5080/00775+++</t>
  </si>
  <si>
    <t>374</t>
  </si>
  <si>
    <t>STORTING VIA WERO VAN BE15 7370 7147 8030 GEESSELS-VAN MEERBEEK G + L Wero VAN MEERBEEK LORE REF. :           1062a7599fc94a0b97b76b1d32c48799 NAAR                  BE05 0636 4778 9475 Goedele Deseyn                     REF. : 080G798237971 VAL. 08-09</t>
  </si>
  <si>
    <t>373</t>
  </si>
  <si>
    <t>BE40 7785 9717 1663</t>
  </si>
  <si>
    <t>Van Damme Floor</t>
  </si>
  <si>
    <t>LOUIS WOUTERSSTRAAT    1 D</t>
  </si>
  <si>
    <t>3012  WILSELE</t>
  </si>
  <si>
    <t>INSTANT STORTING VAN BE40 7785 9717 1663 Van Damme     Floor Floor Van Damme - 082025 NAAR                    BE05 0636 4778 9475 Huis Van Meraki                    REF. : 0905497998116 VAL. 08-09</t>
  </si>
  <si>
    <t>Floor Van Damme - 082025</t>
  </si>
  <si>
    <t>372</t>
  </si>
  <si>
    <t>BE17 7370 6879 9921</t>
  </si>
  <si>
    <t>VAN DE WALLE - GIUFFRIDA</t>
  </si>
  <si>
    <t>PERSILSTRAAT 51F</t>
  </si>
  <si>
    <t>INSTANT STORTING VAN BE17 7370 6879 9921 VAN DE WALLE  - GIUFFRIDA Costanza Giuffrida 082025 NAAR             BE05 0636 4778 9475 Vroedvrouw Goedele                 REF. : 080G795494024 VAL. 05-09</t>
  </si>
  <si>
    <t>Costanza Giuffrida 082025</t>
  </si>
  <si>
    <t>371</t>
  </si>
  <si>
    <t>INSTANT STORTING VAN BE53 3770 5856 0553 MME SILVIA    OLIVIERI 08/2025 Olivieri REF. :                       cbb4e5b798ab4613a9551f78f550ccef NAAR                  BE05 0636 4778 9475 vroedvrouw Goedele                 REF. : 080G795314951 VAL. 05-09</t>
  </si>
  <si>
    <t>08/2025 Olivieri</t>
  </si>
  <si>
    <t>370</t>
  </si>
  <si>
    <t>BE62 7360 5698 7261</t>
  </si>
  <si>
    <t>VAN ROBAYS D + CANDEL K</t>
  </si>
  <si>
    <t>SPAANSE-BURCHTLAAN 61</t>
  </si>
  <si>
    <t>INSTANT STORTING VAN BE62 7360 5698 7261 VAN ROBAYS D  + CANDEL K +++002/5080/00371+++ NAAR                   BE05 0636 4778 9475 Vroedvrouw Goedele                 REF. : 080G795061485 VAL. 05-09</t>
  </si>
  <si>
    <t>+++002/5080/00371+++</t>
  </si>
  <si>
    <t>369</t>
  </si>
  <si>
    <t>STORTING VAN BE77 2100 9098 5042 UNION NATIONALE DES   MUTUALITES LIBRES 0202525968240081202508 40015182000   0202525968240 804092502379 REF. : 5000904C381 NAAR     BE05 0636 4778 9475 DESEYN GOEDELE                     REF. : 619725618 VAL. 05-09</t>
  </si>
  <si>
    <t>0202525968240081202508 40015182000 0202525968240 804092502379</t>
  </si>
  <si>
    <t>368</t>
  </si>
  <si>
    <t>Wilselsesteenweg 263</t>
  </si>
  <si>
    <t>STORTING VAN BE22 0016 2609 3347 NASTASE DANA-ANDREEA  Dana Nastase 072025 NAAR BE05 0636 4778 9475 Goedele   Deseyn                                                 REF. : 619680943 VAL. 05-09</t>
  </si>
  <si>
    <t>Dana Nastase 072025</t>
  </si>
  <si>
    <t>367</t>
  </si>
  <si>
    <t>BE31 7360 3860 5155</t>
  </si>
  <si>
    <t>WOLFS J. + BLOCQUIAUX L.</t>
  </si>
  <si>
    <t>ARNOUDT RULENSLAAN 56</t>
  </si>
  <si>
    <t>3020 WINKSELE</t>
  </si>
  <si>
    <t>INSTANT STORTING VAN BE31 7360 3860 5155 WOLFS J. +    BLOCQUIAUX L. 06/2025 Lieze Blocquiaux NAAR            BE05 0636 4778 9475 VROEDVROUW GOEDELE                 REF. : 080G794460931 VAL. 04-09</t>
  </si>
  <si>
    <t>06/2025 Lieze Blocquiaux</t>
  </si>
  <si>
    <t>00009</t>
  </si>
  <si>
    <t>366</t>
  </si>
  <si>
    <t>NL52 ABNA 0589 7297 48</t>
  </si>
  <si>
    <t>AN HIDAYANTI</t>
  </si>
  <si>
    <t>UNKNOWN</t>
  </si>
  <si>
    <t>STORTING VAN NL52 ABNA 0589 7297 48 AN HIDAYANTI       Voetreflex NAAR BE05 0636 4778 9475 Goedele Deseyn     REF. : 618823229 VAL. 04-09</t>
  </si>
  <si>
    <t>ABNANL2A</t>
  </si>
  <si>
    <t>Voetreflex</t>
  </si>
  <si>
    <t>365</t>
  </si>
  <si>
    <t>BE84 6511 9571 2559</t>
  </si>
  <si>
    <t>SUNG-PIRES SOARES DE ALB</t>
  </si>
  <si>
    <t>Charles Woestelaan 182</t>
  </si>
  <si>
    <t>1090 JETTE</t>
  </si>
  <si>
    <t>STORTING VAN BE84 6511 9571 2559 SUNG-PIRES SOARES DE  ALB Els Sung 082025 REF. : 20250904ST2101005381-000632 NAAR BE05 0636 4778 9475 Vroedvrouw Goedele            REF. : 618728430 VAL. 04-09</t>
  </si>
  <si>
    <t>KEYTBEBB</t>
  </si>
  <si>
    <t>Els Sung 082025</t>
  </si>
  <si>
    <t>364</t>
  </si>
  <si>
    <t>INSTANT STORTING VAN BE39 9731 8123 3319 JULIE         VERLINDEN +++002/5080/04112+++ NAAR                    BE05 0636 4778 9475 Vroedvrouw Goedele                 REF. : 080G794213500 VAL. 04-09</t>
  </si>
  <si>
    <t>+++002/5080/04112+++</t>
  </si>
  <si>
    <t>363</t>
  </si>
  <si>
    <t>BE03 7340 7707 4084</t>
  </si>
  <si>
    <t>TAILLEUR PHAEDRA</t>
  </si>
  <si>
    <t>HOLSBEEKSESTEENWEG 69</t>
  </si>
  <si>
    <t>STORTING VIA WERO VAN BE03 7340 7707 4084 TAILLEUR     PHAEDRA Wero TAILLEUR PHAEDRA REF. :                   c77aa12aadd349c492956e738f3d19a6 NAAR                  BE05 0636 4778 9475 Goedele Deseyn                     REF. : 080G794175141 VAL. 04-09</t>
  </si>
  <si>
    <t>Wero TAILLEUR PHAEDRA</t>
  </si>
  <si>
    <t>362</t>
  </si>
  <si>
    <t>BE85 0018 7571 8706</t>
  </si>
  <si>
    <t>STABEL-VERDEYEN</t>
  </si>
  <si>
    <t>Schaffelkantstraat 28</t>
  </si>
  <si>
    <t>STORTING VAN BE85 0018 7571 8706 STABEL-VERDEYEN       +++002/5080/02795+++ NAAR BE05 0636 4778 9475 Goedele  Deseyn                                                 REF. : 617986854 VAL. 04-09</t>
  </si>
  <si>
    <t>+++002/5080/02795+++</t>
  </si>
  <si>
    <t>361</t>
  </si>
  <si>
    <t>360</t>
  </si>
  <si>
    <t>STORTING VAN BE55 3100 1941 5244 LNZ-UNMN              0202525567836081202508 40015182000 0202525567836       803092508700 REF. : 2000903I708 NAAR                   BE05 0636 4778 9475 DESEYN GOEDELE                     REF. : 617176181 VAL. 03-09</t>
  </si>
  <si>
    <t>0202525567836081202508 40015182000 0202525567836 803092508700</t>
  </si>
  <si>
    <t>359</t>
  </si>
  <si>
    <t>OVERSCHRIJVING BELFIUS MOBILE NAAR BE36 0639 8400 1781 Lemmens R-Deseyn G Terugbetaling toiletpapier praktijk REF. : 0905400793618 VAL. 03-09</t>
  </si>
  <si>
    <t>Terugbetaling toiletpapier praktijk</t>
  </si>
  <si>
    <t>358</t>
  </si>
  <si>
    <t>STORTING VAN BE36 0639 8400 1781 Lemmens - Deseyn      Terugbetaling Mastercard Ophelia                       REF. : 0905476593602 VAL. 03-09</t>
  </si>
  <si>
    <t>Terugbetaling Mastercard Ophelia</t>
  </si>
  <si>
    <t>357</t>
  </si>
  <si>
    <t>INSTANT STORTING VAN BE33 7370 5189 5346 PESEK -       ZURNIC P + S Sanja Pesek Zurnic 082025 NAAR            BE05 0636 4778 9475 Goedele Deseyn                     REF. : 080G793216763 VAL. 03-09</t>
  </si>
  <si>
    <t>Sanja Pesek Zurnic 082025</t>
  </si>
  <si>
    <t>356</t>
  </si>
  <si>
    <t>INSTANT STORTING VAN BE13 0636 6798 1239 DEWITTE - De  Kock +++002/5080/00674+++ NAAR BE05 0636 4778 9475     Vroedvrouw Goedele                                     REF. : 0905475093358 VAL. 03-09</t>
  </si>
  <si>
    <t>+++002/5080/00674+++</t>
  </si>
  <si>
    <t>355</t>
  </si>
  <si>
    <t>BE70 0689 0667 8225</t>
  </si>
  <si>
    <t>BELFIUS VERZEKERINGEN</t>
  </si>
  <si>
    <t>KAREL ROGIERPLEIN 11</t>
  </si>
  <si>
    <t>1210 BRUSSEL</t>
  </si>
  <si>
    <t>354</t>
  </si>
  <si>
    <t>STORTING VAN BE36 1030 3140 0281 Mevr. Mariska         D'hooghe +++002/5080/00573+++ NAAR BE05 0636 4778 9475 Vroedvrouw Goedele                                     REF. : 616753426 VAL. 03-09</t>
  </si>
  <si>
    <t>+++002/5080/00573+++</t>
  </si>
  <si>
    <t>353</t>
  </si>
  <si>
    <t>STORTING VAN BE36 1030 3140 0281 Mevr. Mariska         D'hooghe +++002/5070/01069+++ NAAR BE05 0636 4778 9475 Vroedvrouw Goedele                                     REF. : 616750248 VAL. 03-09</t>
  </si>
  <si>
    <t>+++002/5070/01069+++</t>
  </si>
  <si>
    <t>352</t>
  </si>
  <si>
    <t>MASTERCARD AFREKENING NUMMER 237                       REF. : 0807593062657 VAL. 03-09</t>
  </si>
  <si>
    <t>351</t>
  </si>
  <si>
    <t>STORTING VAN BE39 0017 6917 5219 SWERTS-TUTELEERS      Chloe Tuteleers 082025 NAAR BE05 0636 4778 9475        goedele deseyn                                         REF. : 616595619 VAL. 03-09</t>
  </si>
  <si>
    <t>Chloe Tuteleers 082025</t>
  </si>
  <si>
    <t>350</t>
  </si>
  <si>
    <t>INSTANT STORTING VAN BE61 7370 5876 9717 PEDDLE        ALLYSON Allyson Peddle 082025 NAAR BE05 0636 4778 9475 huis van meraki                                        REF. : 080G792476969 VAL. 02-09</t>
  </si>
  <si>
    <t>Allyson Peddle 082025</t>
  </si>
  <si>
    <t>349</t>
  </si>
  <si>
    <t>348</t>
  </si>
  <si>
    <t>BE12 7390 1895 3292</t>
  </si>
  <si>
    <t>FATTORELLI-RIZZOLLO N + F</t>
  </si>
  <si>
    <t>MARTELARENLAAN 22</t>
  </si>
  <si>
    <t>INSTANT STORTING VAN BE12 7390 1895 3292 FATTORELLI-   RIZZOLLO N + F +++002/5080/03809+++ NAAR               BE05 0636 4778 9475 Vroedvrouw Goedele                 REF. : 080G792177728 VAL. 02-09</t>
  </si>
  <si>
    <t>+++002/5080/03809+++</t>
  </si>
  <si>
    <t>347</t>
  </si>
  <si>
    <t>BE02 0636 0641 5440</t>
  </si>
  <si>
    <t>ARRAS - Morren</t>
  </si>
  <si>
    <t>WILSELSESTEENWEG       148</t>
  </si>
  <si>
    <t>INSTANT STORTING VAN BE02 0636 0641 5440 ARRAS -       Morren +++002/5070/00160+++ NAAR BE05 0636 4778 9475   vroedvrouw Goedele                                     REF. : 0905462792331 VAL. 02-09</t>
  </si>
  <si>
    <t>+++002/5070/00160+++</t>
  </si>
  <si>
    <t>346</t>
  </si>
  <si>
    <t>COOLBLUE</t>
  </si>
  <si>
    <t>2600  BERCHEM</t>
  </si>
  <si>
    <t>BANCONTACT AANKOOP - COOLBLUE - 2600 BERCHEM NL -      02/09/25 09:01 - VIA INTERNET - KAART 5169 20XX XXXX   5116 - Deseyn Goedele                                  REF. : 0320000000000 VAL. 02-09</t>
  </si>
  <si>
    <t>345</t>
  </si>
  <si>
    <t>OVERSCHRIJVING BELFIUS MOBILE NAAR BE36 0639 8400 1781 Lemmens R-Deseyn G Augustus 2025                       REF. : 0905482191545 VAL. 01-09</t>
  </si>
  <si>
    <t>Augustus 2025</t>
  </si>
  <si>
    <t>344</t>
  </si>
  <si>
    <t>FARMALINE</t>
  </si>
  <si>
    <t>5975  WD    SEVENUM</t>
  </si>
  <si>
    <t>BANCONTACT AANKOOP - FARMALINE - 5975 WD SEVENUM NL -  26/08/25 08:15 - VIA INTERNET - KAART 5169 20XX XXXX   5116 - Deseyn Goedele                                  REF. : 0320000000000 VAL. 26-08</t>
  </si>
  <si>
    <t>343</t>
  </si>
  <si>
    <t>M08695721MOP2P0N Order 4374</t>
  </si>
  <si>
    <t>342</t>
  </si>
  <si>
    <t>LIDL BELGIUM GMBH &amp; CO</t>
  </si>
  <si>
    <t>9820  MERELBEKE</t>
  </si>
  <si>
    <t>BANCONTACT AANKOOP - LIDL BELGIUM GMBH &amp; CO - 9820     MERELBEKE BE - 25/08/25 11:24 - LidlBE - VIA INTERNET  - KAART 5169 20XX XXXX 5116 - Deseyn Goedele           REF. : 0320000000000 VAL. 25-08</t>
  </si>
  <si>
    <t>341</t>
  </si>
  <si>
    <t>DOORLOPENDE BETALINGSOPDRACHT 15919897 NAAR            BE05 0682 4812 1175 Sweele B. V. Huur praktijk +       vergaderzaal                                           REF. : 080078M005417 VAL. 25-08</t>
  </si>
  <si>
    <t>340</t>
  </si>
  <si>
    <t>STORTING VIA WERO VAN BE03 7340 7707 4084 TAILLEUR     PHAEDRA Wero TAILLEUR PHAEDRA REF. :                   7be6162398874f63b9fccae091b178f5 NAAR                  BE05 0636 4778 9475 Goedele Deseyn                     REF. : 080G78L126191 VAL. 21-08</t>
  </si>
  <si>
    <t>339</t>
  </si>
  <si>
    <t>BE36 7340 6986 6681</t>
  </si>
  <si>
    <t>JAKSONS K + OLIVIERI S</t>
  </si>
  <si>
    <t>INSTANT STORTING VAN BE36 7340 6986 6681 JAKSONS K +   OLIVIERI S +++002/5050/12569+++ NAAR                   BE05 0636 4778 9475 Vroedvrouw Goedele                 REF. : 080G78K104194 VAL. 20-08</t>
  </si>
  <si>
    <t>+++002/5050/12569+++</t>
  </si>
  <si>
    <t>338</t>
  </si>
  <si>
    <t>BE05 4097 0596 9175</t>
  </si>
  <si>
    <t>JOHAN CRABBE</t>
  </si>
  <si>
    <t>OVERSCHRIJVING VIA WERO BELFIUS MOBILE NAAR            BE05 4097 0596 9175 JOHAN CRABBE Super soco            6de58f5bb1ab41f19648b588e11fd329                       REF. : 090543798H287 VAL. 17-08</t>
  </si>
  <si>
    <t>Super soco</t>
  </si>
  <si>
    <t>337</t>
  </si>
  <si>
    <t>OVERSCHRIJVING VIA WERO BELFIUS MOBILE NAAR            BE05 4097 0596 9175 JOHAN CRABBE Super soco            8b9e87983ead4651a7beec7a0a172729                       REF. : 090542688H265 VAL. 17-08</t>
  </si>
  <si>
    <t>336</t>
  </si>
  <si>
    <t>3010  KESSEL-LO</t>
  </si>
  <si>
    <t>BANCONTACT AANKOOP - NV KESSEL LO FOODS - 3010 KESSEL- LO BE - 15/08/25 12:16 - CONTACTLESS - KAART 5169 20XX XXXX 5116 - Deseyn Goedele                             REF. : 0059444661259 VAL. 15-08</t>
  </si>
  <si>
    <t>335</t>
  </si>
  <si>
    <t>INSTANT STORTING VAN BE53 3770 5856 0553 MME SILVIA    OLIVIERI Silvia Olivieri 072025 REF. :                 7983e259b28f4adb82be9cd20d787fb9 NAAR                  BE05 0636 4778 9475 Goedele Deseyn                     REF. : 080G78D140845 VAL. 13-08</t>
  </si>
  <si>
    <t>Silvia Olivieri 072025</t>
  </si>
  <si>
    <t>334</t>
  </si>
  <si>
    <t>ALPINE WORLD DI LONGO</t>
  </si>
  <si>
    <t>11100 AOSTA</t>
  </si>
  <si>
    <t>IT</t>
  </si>
  <si>
    <t>333</t>
  </si>
  <si>
    <t>BE66 3631 6252 3843</t>
  </si>
  <si>
    <t>MME Salma BARRY</t>
  </si>
  <si>
    <t>PATER LIEVENSLAAN 13/102</t>
  </si>
  <si>
    <t>3010        KESSEL-LO</t>
  </si>
  <si>
    <t>INSTANT STORTING VAN BE66 3631 6252 3843 MME Salma     BARRY 002507000665 REF. :                              5056990b2b2144fcafe1aa9f8d4f6e43 NAAR                  BE05 0636 4778 9475 Vroedvrouw Goedele                 REF. : 080G78A193960 VAL. 10-08</t>
  </si>
  <si>
    <t>002507000665</t>
  </si>
  <si>
    <t>332</t>
  </si>
  <si>
    <t>STORTING VAN BE42 2100 5945 1554 SOLIDARIS BRABANT     10023617365 EN/ZE 071 TP REF. : TP 0807475 NAAR        BE05 0636 4778 9475 M. DESEYN GOEDELE                  REF. : 586341591 VAL. 07-08</t>
  </si>
  <si>
    <t>10023617365 EN/ZE 071                                                                              TP</t>
  </si>
  <si>
    <t>331</t>
  </si>
  <si>
    <t>00008</t>
  </si>
  <si>
    <t>330</t>
  </si>
  <si>
    <t>STORTING VAN BE36 0639 8400 1781 Lemmens - Deseyn      Terugbetaling SP Wolk                                  REF. : 0905418484906 VAL. 04-08</t>
  </si>
  <si>
    <t>Terugbetaling SP Wolk</t>
  </si>
  <si>
    <t>329</t>
  </si>
  <si>
    <t>MASTERCARD AFREKENING NUMMER 206                       REF. : 0807584067705 VAL. 04-08</t>
  </si>
  <si>
    <t>328</t>
  </si>
  <si>
    <t>BE77 7330 5826 9142</t>
  </si>
  <si>
    <t>JOST J + STARVINSKAITE A</t>
  </si>
  <si>
    <t>KAREKIETENLAAN 17</t>
  </si>
  <si>
    <t>INSTANT STORTING VAN BE77 7330 5826 9142 JOST J +      STARVINSKAITE A Aivija Stravinskaite 072025 NAAR       BE05 0636 4778 9475 VROEDVROUW GOEDELE                 REF. : 080G783151455 VAL. 03-08</t>
  </si>
  <si>
    <t>Aivija Stravinskaite 072025</t>
  </si>
  <si>
    <t>327</t>
  </si>
  <si>
    <t>BE30 7350 3827 8511</t>
  </si>
  <si>
    <t>DEMESMACRE JOLIEN</t>
  </si>
  <si>
    <t>BUILOOGSTRAAT 32</t>
  </si>
  <si>
    <t>3360 BIERBEEK</t>
  </si>
  <si>
    <t>INSTANT STORTING VAN BE30 7350 3827 8511 DEMESMACRE    JOLIEN +++002/5070/01372+++ NAAR BE05 0636 4778 9475   Vroedvrouw Goedele                                     REF. : 080G781237856 VAL. 01-08</t>
  </si>
  <si>
    <t>+++002/5070/01372+++</t>
  </si>
  <si>
    <t>326</t>
  </si>
  <si>
    <t>STORTING VAN BE77 2100 9098 5042 UNION NATIONALE DES   MUTUALITES LIBRES 0202525844659071202507 40015182000   0202525844659 831072503636 REF. : 5000731D639 NAAR     BE05 0636 4778 9475 DESEYN GOEDELE                     REF. : 579360761 VAL. 01-08</t>
  </si>
  <si>
    <t>0202525844659071202507 40015182000 0202525844659 831072503636</t>
  </si>
  <si>
    <t>325</t>
  </si>
  <si>
    <t>OVERSCHRIJVING BELFIUS MOBILE NAAR BE36 0639 8400 1781 Lemmens R-Deseyn G Juli 2025                           REF. : 0905468481083 VAL. 01-08</t>
  </si>
  <si>
    <t>Juli 2025</t>
  </si>
  <si>
    <t>324</t>
  </si>
  <si>
    <t>BE63 7370 6451 1208</t>
  </si>
  <si>
    <t>BRUCHET-SCHREURS J + K</t>
  </si>
  <si>
    <t>HOLSBEEKSESTEENWEG 70</t>
  </si>
  <si>
    <t>INSTANT STORTING VAN BE63 7370 6451 1208 BRUCHET-      SCHREURS J + K Kristien Schreurs 07 2025 NAAR          BE05 0636 4778 9475 Goedele Deseyn                     REF. : 080G77V232292 VAL. 31-07</t>
  </si>
  <si>
    <t>Kristien Schreurs 07 2025</t>
  </si>
  <si>
    <t>323</t>
  </si>
  <si>
    <t>STORTING VAN BE55 3100 1941 5244 LNZ-UNMN              0202525494207071202507 40015182000 0202525494207       830072500948 REF. : 2000730A948 NAAR                   BE05 0636 4778 9475 DESEYN GOEDELE                     REF. : 576501855 VAL. 30-07</t>
  </si>
  <si>
    <t>0202525494207071202507 40015182000 0202525494207 830072500948</t>
  </si>
  <si>
    <t>322</t>
  </si>
  <si>
    <t>STORTING VAN BE72 3100 4038 3816 UNION NATIONALE DES   0202525507567071202507 40015182000 0202525507567       830072501049 REF. : 4000730B050 NAAR                   BE05 0636 4778 9475 DESEYN GOEDELE                     REF. : 576523613 VAL. 30-07</t>
  </si>
  <si>
    <t>0202525507567071202507 40015182000 0202525507567 830072501049</t>
  </si>
  <si>
    <t>321</t>
  </si>
  <si>
    <t>BE94 7340 5570 7614</t>
  </si>
  <si>
    <t>AMENDOEIRA ESTEVES-ATALAIA ROSA R</t>
  </si>
  <si>
    <t>OUDEBAAN 431</t>
  </si>
  <si>
    <t>INSTANT STORTING VAN BE94 7340 5570 7614 AMENDOEIRA    ESTEVES-ATALAIA ROSA R +++002/5070/00564+++ NAAR       BE05 0636 4778 9475 Vroedvrouw Goedele                 REF. : 080G77U137540 VAL. 30-07</t>
  </si>
  <si>
    <t>+++002/5070/00564+++</t>
  </si>
  <si>
    <t>320</t>
  </si>
  <si>
    <t>Hema Valkenburg</t>
  </si>
  <si>
    <t>6301 DX VALKENBURG LB</t>
  </si>
  <si>
    <t>319</t>
  </si>
  <si>
    <t>BE44 3771 2327 8145</t>
  </si>
  <si>
    <t>MR AND MRS MARKO TOPALOVIC STOJILJKOVIC</t>
  </si>
  <si>
    <t>SCHOOLBERGENSTRAAT 5</t>
  </si>
  <si>
    <t>INSTANT STORTING VAN BE44 3771 2327 8145 MR AND MRS    MARKO TOPALOVIC STOJILJKOVIC Marija Stojiljkovic       072025 REF. : 7ed23f3fea0b43c0937888e8abe6a119 NAAR    BE05 0636 4778 9475 Goedele Deseyn                     REF. : 080G77U003082 VAL. 30-07</t>
  </si>
  <si>
    <t>Marija Stojiljkovic 072025</t>
  </si>
  <si>
    <t>318</t>
  </si>
  <si>
    <t>BE52 0637 3504 4009</t>
  </si>
  <si>
    <t>Maes - RAY</t>
  </si>
  <si>
    <t>MIDDELWEG              131</t>
  </si>
  <si>
    <t>3001  HEVERLEE</t>
  </si>
  <si>
    <t>INSTANT STORTING VAN BE52 0637 3504 4009 Maes - RAY    +++002/5070/01877+++ NAAR BE05 0636 4778 9475          Vroedvrouw Goedele                                     REF. : 090546327T565 VAL. 29-07</t>
  </si>
  <si>
    <t>+++002/5070/01877+++</t>
  </si>
  <si>
    <t>317</t>
  </si>
  <si>
    <t>316</t>
  </si>
  <si>
    <t>BE16 7340 4621 7374</t>
  </si>
  <si>
    <t>ABTS-DE COSTER K + F</t>
  </si>
  <si>
    <t>LANGE LOSTRAAT 14</t>
  </si>
  <si>
    <t>INSTANT STORTING VAN BE16 7340 4621 7374 ABTS-DE       COSTER K + F +++002/5070/01170+++ NAAR                 BE05 0636 4778 9475 Vroedvrouw Goedele                 REF. : 080G77T117898 VAL. 29-07</t>
  </si>
  <si>
    <t>+++002/5070/01170+++</t>
  </si>
  <si>
    <t>315</t>
  </si>
  <si>
    <t>BE60 0018 5916 7270</t>
  </si>
  <si>
    <t>GUNS CHARLOTTE</t>
  </si>
  <si>
    <t>Aarschotsestwg 796</t>
  </si>
  <si>
    <t>3012 LEUVEN</t>
  </si>
  <si>
    <t>STORTING VAN BE60 0018 5916 7270 GUNS CHARLOTTE        Charlotte Guns 072025 NAAR BE05 0636 4778 9475 Goedele Deseyn                                                 REF. : 573826906 VAL. 29-07</t>
  </si>
  <si>
    <t>Charlotte Guns 072025</t>
  </si>
  <si>
    <t>314</t>
  </si>
  <si>
    <t>BE64 7360 6792 7952</t>
  </si>
  <si>
    <t>SOMERS M + KERREMANS L</t>
  </si>
  <si>
    <t>KOETSWEG 43</t>
  </si>
  <si>
    <t>INSTANT STORTING VAN BE64 7360 6792 7952 SOMERS M +    KERREMANS L +++002/5070/05618+++ NAAR                  BE05 0636 4778 9475 Vroedvrouw Goedele                 REF. : 080G77T010471 VAL. 29-07</t>
  </si>
  <si>
    <t>+++002/5070/05618+++</t>
  </si>
  <si>
    <t>313</t>
  </si>
  <si>
    <t>DE31 5001 0517 5428 7733 20</t>
  </si>
  <si>
    <t>Rebecca Rabe</t>
  </si>
  <si>
    <t>STORTING VAN DE31 5001 0517 5428 7733 20 Rebecca Rabe  Rebecca 07/2025 NAAR BE05 0636 4778 9475 Goedele       Deseyn                                                 REF. : 573228053 VAL. 28-07</t>
  </si>
  <si>
    <t>INGDDEFF</t>
  </si>
  <si>
    <t>DE</t>
  </si>
  <si>
    <t>Rebecca 07/2025</t>
  </si>
  <si>
    <t>312</t>
  </si>
  <si>
    <t>BE16 7370 1406 8174</t>
  </si>
  <si>
    <t>BUYSSENS W + VAN DAMME A</t>
  </si>
  <si>
    <t>DIESTSESTEENWEG 697</t>
  </si>
  <si>
    <t>INSTANT STORTING VAN BE16 7370 1406 8174 BUYSSENS W +  VAN DAMME A +++002/5070/03594+++ NAAR                  BE05 0636 4778 9475 Vroedvrouw Goedele                 REF. : 080G77S196231 VAL. 28-07</t>
  </si>
  <si>
    <t>+++002/5070/03594+++</t>
  </si>
  <si>
    <t>311</t>
  </si>
  <si>
    <t>BE75 9734 0260 0251</t>
  </si>
  <si>
    <t>JANSSEN - VERHOEVEN</t>
  </si>
  <si>
    <t>HOLSBEEKSESTEENWEG 206</t>
  </si>
  <si>
    <t>3010 KESSEL-LO (LEUVEN)</t>
  </si>
  <si>
    <t>INSTANT STORTING VAN BE75 9734 0260 0251 JANSSEN -     VERHOEVEN Elke Verhoeven 072025 NAAR                   BE05 0636 4778 9475 Goedele Deseyn                     REF. : 080G77S163530 VAL. 28-07</t>
  </si>
  <si>
    <t>Elke Verhoeven 072025</t>
  </si>
  <si>
    <t>310</t>
  </si>
  <si>
    <t>INSTANT STORTING VAN BE74 3771 1935 5507 MR BRUNO LI   PIRA Milica Pavlovic 072025 REF. :                     0003562481bb42fb8c11ed47566c1e52 NAAR                  BE05 0636 4778 9475 Huis Van Meraki - Goedele Deseyn   REF. : 080G77S158665 VAL. 28-07</t>
  </si>
  <si>
    <t>Milica Pavlovic 072025</t>
  </si>
  <si>
    <t>309</t>
  </si>
  <si>
    <t>BE98 7340 6125 4293</t>
  </si>
  <si>
    <t>BLONDEEL-SCHELDEMAN J + L</t>
  </si>
  <si>
    <t>LEOPOLD DECOUXLAAN 47</t>
  </si>
  <si>
    <t>INSTANT STORTING VAN BE98 7340 6125 4293 BLONDEEL-     SCHELDEMAN J + L Lauranne Scheldeman 072025 NAAR       BE05 0636 4778 9475 Vroedvrouw Goedele                 REF. : 080G77S142565 VAL. 28-07</t>
  </si>
  <si>
    <t>Lauranne Scheldeman 072025</t>
  </si>
  <si>
    <t>308</t>
  </si>
  <si>
    <t>INSTANT STORTING VAN BE94 7340 5570 7614 AMENDOEIRA    ESTEVES-ATALAIA ROSA R +++002/5070/00564+++ NAAR       BE05 0636 4778 9475 Vroedvrouw Goedele                 REF. : 080G77S140435 VAL. 28-07</t>
  </si>
  <si>
    <t>307</t>
  </si>
  <si>
    <t>BE54 3632 4786 0197</t>
  </si>
  <si>
    <t>MR AND MRS DAVID HARPER DICKSON DICKSON</t>
  </si>
  <si>
    <t>BURGEMEESTERSSTRAAT 9 B205</t>
  </si>
  <si>
    <t>INSTANT STORTING VAN BE54 3632 4786 0197 MR AND MRS    DAVID HARPER DICKSON DICKSON Keri Dickson 072025 REF.: 7636a0400d614ad18342eb101ec4421c NAAR                  BE05 0636 4778 9475 Goedele Deseyn                     REF. : 080G77S139630 VAL. 28-07</t>
  </si>
  <si>
    <t>Keri Dickson 072025</t>
  </si>
  <si>
    <t>306</t>
  </si>
  <si>
    <t>BE09 7310 5289 2657</t>
  </si>
  <si>
    <t>VANMELLAERT-VAN GERVEN T + Z</t>
  </si>
  <si>
    <t>GULDENSPORENLAAN 53</t>
  </si>
  <si>
    <t>INSTANT STORTING VAN BE09 7310 5289 2657 VANMELLAERT-  VAN GERVEN T + Z zoe van gerven 072025 NAAR            BE05 0636 4778 9475 Vroedvrouw Goedele                 REF. : 080G77S125480 VAL. 28-07</t>
  </si>
  <si>
    <t>zoe van gerven 072025</t>
  </si>
  <si>
    <t>305</t>
  </si>
  <si>
    <t>INSTANT STORTING VAN BE77 7330 5826 9142 JOST J +      STARVINSKAITE A +++002/5060/03888+++ NAAR              BE05 0636 4778 9475 VROEDVROUW GOEDELE                 REF. : 080G77Q227548 VAL. 26-07</t>
  </si>
  <si>
    <t>+++002/5060/03888+++</t>
  </si>
  <si>
    <t>304</t>
  </si>
  <si>
    <t>OVERSCHRIJVING BELFIUS MOBILE NAAR BE98 0689 5286 6793 Huis van Meraki Verkeerde rekening la royale           REF. : 090540687Q254 VAL. 26-07</t>
  </si>
  <si>
    <t>Verkeerde rekening la royale</t>
  </si>
  <si>
    <t>303</t>
  </si>
  <si>
    <t>Mol*RESET</t>
  </si>
  <si>
    <t>2820 32474653997</t>
  </si>
  <si>
    <t>302</t>
  </si>
  <si>
    <t>DOORLOPENDE BETALINGSOPDRACHT 15919897 NAAR            BE05 0682 4812 1175 Sweele B. V. Huur praktijk +       vergaderzaal                                           REF. : 080077N000896 VAL. 24-07</t>
  </si>
  <si>
    <t>301</t>
  </si>
  <si>
    <t>CAFE ENTREPOT LEUVEN</t>
  </si>
  <si>
    <t>BANCONTACT AANKOOP - CAFE ENTREPOT LEUVEN - 3000       LEUVEN BE - 23/07/25 19:55 - CONTACTLESS - KAART 5169  20XX XXXX 5116 - Deseyn Goedele                        REF. : 0497351990682 VAL. 23-07</t>
  </si>
  <si>
    <t>300</t>
  </si>
  <si>
    <t>STORTING VAN BE42 2100 5945 1554 SOLIDARIS BRABANT     10023329287 EN/ZE 061 TP REF. : TP 0807475 NAAR        BE05 0636 4778 9475 M. DESEYN GOEDELE                  REF. : 564202134 VAL. 18-07</t>
  </si>
  <si>
    <t>10023329287 EN/ZE 061                                                                              TP</t>
  </si>
  <si>
    <t>299</t>
  </si>
  <si>
    <t>INSTANT STORTING VAN BE66 3631 6252 3843 MME Salma     BARRY 002506000353 REF. :                              fb0ab61ec39545348f41acd549c672fe NAAR                  BE05 0636 4778 9475 Vroedvrouw Goedele                 REF. : 080G77F311685 VAL. 15-07</t>
  </si>
  <si>
    <t>002506000353</t>
  </si>
  <si>
    <t>298</t>
  </si>
  <si>
    <t>BE91 0017 2200 0176</t>
  </si>
  <si>
    <t>TRANDAFIR ALEXANDRA-ELENA</t>
  </si>
  <si>
    <t>Mechelsesteenweg 40</t>
  </si>
  <si>
    <t>STORTING VAN BE91 0017 2200 0176 TRANDAFIR ALEXANDRA-  ELENA Alexandra Trandafir 062025 NAAR                  BE05 0636 4778 9475 Goedele Deseyn                     REF. : 560556011 VAL. 15-07</t>
  </si>
  <si>
    <t>Alexandra Trandafir 062025</t>
  </si>
  <si>
    <t>297</t>
  </si>
  <si>
    <t>3166 BIO-PLANET LEUVEN</t>
  </si>
  <si>
    <t>3010  LEUVEN</t>
  </si>
  <si>
    <t>BANCONTACT AANKOOP - 3166 BIO-PLANET LEUVEN - 3010     LEUVEN BE - 12/07/25 17:33 - CONTACTLESS - KAART 5169  20XX XXXX 5116 - Deseyn Goedele                        REF. : 0059288891760 VAL. 12-07</t>
  </si>
  <si>
    <t>296</t>
  </si>
  <si>
    <t>INSTANT OVERSCHRIJVING BELFIUS MOBILE NAAR             BE42 4027 5420 0154 Acerta VAPZ +++725/0671/73110+++   REF. : 090548377C040 VAL. 12-07</t>
  </si>
  <si>
    <t>+++725/0671/73110+++</t>
  </si>
  <si>
    <t>295</t>
  </si>
  <si>
    <t>BE43 3770 9429 9801</t>
  </si>
  <si>
    <t>DE H EN MEVR THOMAS GILIS VANALPHEN</t>
  </si>
  <si>
    <t>BEVEKOMSESTRAAT 27 A</t>
  </si>
  <si>
    <t>3360        BIERBEEK</t>
  </si>
  <si>
    <t>INSTANT STORTING VAN BE43 3770 9429 9801 DE H EN MEVR  THOMAS GILIS VANALPHEN Melissa Vanalphen 052025 REF. : 83ed0498ce1d4c64b701b01db6032afe NAAR                  BE05 0636 4778 9475 Vroedvrouw Goedele                 REF. : 080G77B322593 VAL. 11-07</t>
  </si>
  <si>
    <t>Melissa Vanalphen 052025</t>
  </si>
  <si>
    <t>294</t>
  </si>
  <si>
    <t>INSTANT OVERSCHRIJVING BELFIUS MOBILE NAAR             BE64 4027 5260 9152 Acerta Sociaal Verzekeringsfonds   Vzw +++821/0060/90514+++                               REF. : 090542407B712 VAL. 11-07</t>
  </si>
  <si>
    <t>293</t>
  </si>
  <si>
    <t>STORTING VAN BE98 0689 5286 6793 Huis van Meraki       202507001                                              REF. : 090542007B587 VAL. 11-07</t>
  </si>
  <si>
    <t>202507001</t>
  </si>
  <si>
    <t>292</t>
  </si>
  <si>
    <t>BE61 0020 0308 0817</t>
  </si>
  <si>
    <t>VERLAERS-SEGERS</t>
  </si>
  <si>
    <t>Pater Lievenslaan 35</t>
  </si>
  <si>
    <t>STORTING VAN BE61 0020 0308 0817 VERLAERS-SEGERS       +++002/5050/02768+++ NAAR BE05 0636 4778 9475          Vroedvrouw Goedele                                     REF. : 557238098 VAL. 11-07</t>
  </si>
  <si>
    <t>+++002/5050/02768+++</t>
  </si>
  <si>
    <t>291</t>
  </si>
  <si>
    <t>STORTING VAN BE61 0020 0308 0817 VERLAERS-SEGERS       +++002/5040/08015+++ NAAR BE05 0636 4778 9475          Vroedvrouw Goedele                                     REF. : 557222857 VAL. 11-07</t>
  </si>
  <si>
    <t>+++002/5040/08015+++</t>
  </si>
  <si>
    <t>290</t>
  </si>
  <si>
    <t>BE33 7390 1195 4946</t>
  </si>
  <si>
    <t>POEDTS L + VANDEVELDE L</t>
  </si>
  <si>
    <t>WILLEM DE CROYLAAN 53</t>
  </si>
  <si>
    <t>INSTANT STORTING VAN BE33 7390 1195 4946 POEDTS L +    VANDEVELDE L Lien Vandevelde 062025 NAAR               BE05 0636 4778 9475 VROEDVROUW GOEDELE                 REF. : 080G778390543 VAL. 08-07</t>
  </si>
  <si>
    <t>Lien Vandevelde 062025</t>
  </si>
  <si>
    <t>289</t>
  </si>
  <si>
    <t>STORTING VAN BE55 3100 1941 5244 LNZ-UNMN              0202525439389061202506 40015182000 0202525439389       806072500846 REF. : 2000704A846 NAAR                   BE05 0636 4778 9475 DESEYN GOEDELE                     REF. : 553900943 VAL. 08-07</t>
  </si>
  <si>
    <t>0202525439389061202506 40015182000 0202525439389 806072500846</t>
  </si>
  <si>
    <t>288</t>
  </si>
  <si>
    <t>DILLE EN KAMILLE</t>
  </si>
  <si>
    <t>2800  MECHELEN</t>
  </si>
  <si>
    <t>BANCONTACT AANKOOP - DILLE EN KAMILLE - 2800 MECHELEN  BE - 08/07/25 16:33 - CONTACTLESS - KAART 5169 20XX    XXXX 5116 - Deseyn Goedele                             REF. : 0323962020000 VAL. 08-07</t>
  </si>
  <si>
    <t>287</t>
  </si>
  <si>
    <t>BE20 3771 2403 5856</t>
  </si>
  <si>
    <t>DE H EN MEVR WOUTER MANCINI HOPPENBROUWERS</t>
  </si>
  <si>
    <t>ZEGELAAN 24</t>
  </si>
  <si>
    <t>3001        HEVERLEE</t>
  </si>
  <si>
    <t>INSTANT STORTING VAN BE20 3771 2403 5856 DE H EN MEVR  WOUTER MANCINI HOPPENBROUWERS Margot Hoppenbrouwers    062025 REF. : 0355164717ef449181ccebf3dbcbf6a7 NAAR    BE05 0636 4778 9475 Goedele Deseyn                     REF. : 080G778275389 VAL. 08-07</t>
  </si>
  <si>
    <t>Margot Hoppenbrouwers 062025</t>
  </si>
  <si>
    <t>286</t>
  </si>
  <si>
    <t>BE68 0018 0822 8934</t>
  </si>
  <si>
    <t>OZER AHMET</t>
  </si>
  <si>
    <t>E.Vanhoorenbekeln 23</t>
  </si>
  <si>
    <t>STORTING VAN BE68 0018 0822 8934 OZER AHMET            +++002/5060/01767+++ NAAR BE05 0636 4778 9475          Vroedvrouw Goedele                                     REF. : 552952921 VAL. 08-07</t>
  </si>
  <si>
    <t>+++002/5060/01767+++</t>
  </si>
  <si>
    <t>285</t>
  </si>
  <si>
    <t>INSTANT STORTING VAN BE44 3771 2327 8145 MR AND MRS    MARKO TOPALOVIC STOJILJKOVIC Marija Stojiljkovic       062025 REF. : 1abb0175711d471e882ea8b753998c13 NAAR    BE05 0636 4778 9475 Goedele Deseyn                     REF. : 080G777470863 VAL. 07-07</t>
  </si>
  <si>
    <t>Marija Stojiljkovic 062025</t>
  </si>
  <si>
    <t>284</t>
  </si>
  <si>
    <t>OUDEBAAN             431  B001</t>
  </si>
  <si>
    <t>3000    LEUVEN</t>
  </si>
  <si>
    <t>STORTING VAN BE94 7340 5570 7614 AMENDOEIRA ESTEVES-   ATALAIA ROSA R MARIA ROSA 062025 NAAR                  BE05 0636 4778 9475 HUIS VAN MERAKI                    REF. : 550867750 VAL. 07-07</t>
  </si>
  <si>
    <t>MARIA ROSA 062025</t>
  </si>
  <si>
    <t>283</t>
  </si>
  <si>
    <t>STORTING VAN BE77 2100 9098 5042 UNION NATIONALE DES   MUTUALITES LIBRES 0202525748252061202506 40015182000   0202525748252 804072505352 REF. : 5000704F357 NAAR     BE05 0636 4778 9475 DESEYN GOEDELE                     REF. : 550767272 VAL. 07-07</t>
  </si>
  <si>
    <t>0202525748252061202506 40015182000 0202525748252 804072505352</t>
  </si>
  <si>
    <t>282</t>
  </si>
  <si>
    <t>BE24 7350 6373 4038</t>
  </si>
  <si>
    <t>WILLEMS DIETRICH</t>
  </si>
  <si>
    <t>LEUVENSEBAAN 154</t>
  </si>
  <si>
    <t>3220 HOLSBEEK</t>
  </si>
  <si>
    <t>INSTANT STORTING VAN BE24 7350 6373 4038 WILLEMS       DIETRICH +++002/5060/04292+++ NAAR BE05 0636 4778 9475 Vroedvrouw Goedele                                     REF. : 080G776105030 VAL. 06-07</t>
  </si>
  <si>
    <t>+++002/5060/04292+++</t>
  </si>
  <si>
    <t>00007</t>
  </si>
  <si>
    <t>281</t>
  </si>
  <si>
    <t>MASTERCARD AFREKENING NUMMER 176                       REF. : 0807574063058 VAL. 04-07</t>
  </si>
  <si>
    <t>280</t>
  </si>
  <si>
    <t>STORTING VAN BE60 0018 5916 7270 GUNS CHARLOTTE        Charlotte Guns 062025 NAAR BE05 0636 4778 9475 Goedele Deseyn                                                 REF. : 548471851 VAL. 04-07</t>
  </si>
  <si>
    <t>Charlotte Guns 062025</t>
  </si>
  <si>
    <t>279</t>
  </si>
  <si>
    <t>BE04 0014 6991 2031</t>
  </si>
  <si>
    <t>GOOSSENS EVERT</t>
  </si>
  <si>
    <t>Builoogstraat 32</t>
  </si>
  <si>
    <t>STORTING VAN BE04 0014 6991 2031 GOOSSENS EVERT Jolien Demesmacre 062025 NAAR BE05 0636 4778 9475 Vroedvrouw  Goedele                                                REF. : 548375387 VAL. 04-07</t>
  </si>
  <si>
    <t>Jolien Demesmacre 062025</t>
  </si>
  <si>
    <t>278</t>
  </si>
  <si>
    <t>277</t>
  </si>
  <si>
    <t>BE98 7340 5398 8993</t>
  </si>
  <si>
    <t>CRAENEN LARA</t>
  </si>
  <si>
    <t>BERGENSTRAAT 17</t>
  </si>
  <si>
    <t>INSTANT STORTING VAN BE98 7340 5398 8993 CRAENEN LARA  lara craenen 062025 NAAR BE05 0636 4778 9475           VROEDVROUW GOEDELE                                     REF. : 080G773483804 VAL. 03-07</t>
  </si>
  <si>
    <t>lara craenen 062025</t>
  </si>
  <si>
    <t>276</t>
  </si>
  <si>
    <t>STORTING VAN BE72 3100 4038 3816 UNION NATIONALE DES   0202525450492061202506 40015182000 0202525450492       803072503732 REF. : 4000703D735 NAAR                   BE05 0636 4778 9475 DESEYN GOEDELE                     REF. : 547752433 VAL. 03-07</t>
  </si>
  <si>
    <t>0202525450492061202506 40015182000 0202525450492 803072503732</t>
  </si>
  <si>
    <t>275</t>
  </si>
  <si>
    <t>BE29 6512 1872 1464</t>
  </si>
  <si>
    <t>Pieters-Bierut</t>
  </si>
  <si>
    <t>bovenbosstraat 91</t>
  </si>
  <si>
    <t>3053 HAASRODE</t>
  </si>
  <si>
    <t>STORTING VAN BE29 6512 1872 1464 Pieters-Bierut        Katarzyna Bierut 05/2025 REF. :                        20250703ST2101005117-000611 NAAR BE05 0636 4778 9475   Midwife                                                REF. : 547456722 VAL. 03-07</t>
  </si>
  <si>
    <t>Katarzyna Bierut 05/2025</t>
  </si>
  <si>
    <t>274</t>
  </si>
  <si>
    <t>273</t>
  </si>
  <si>
    <t>BE86 9792 2008 7850</t>
  </si>
  <si>
    <t>CELINE ROHAERT</t>
  </si>
  <si>
    <t>IJZERENMOLENSTRAAT 152/503</t>
  </si>
  <si>
    <t>INSTANT STORTING VAN BE86 9792 2008 7850 CELINE        ROHAERT +++002/5060/02272+++ NAAR BE05 0636 4778 9475  Vroedvrouw Goedele                                     REF. : 080G773115444 VAL. 03-07</t>
  </si>
  <si>
    <t>+++002/5060/02272+++</t>
  </si>
  <si>
    <t>272</t>
  </si>
  <si>
    <t>STORTING VAN DE31 5001 0517 5428 7733 20 Rebecca Rabe  Rebecca 062025 NAAR BE05 0636 4778 9475 Vroedvrouw     Goedele                                                REF. : 546991284 VAL. 03-07</t>
  </si>
  <si>
    <t>Rebecca 062025</t>
  </si>
  <si>
    <t>271</t>
  </si>
  <si>
    <t>BE26 0638 0963 9029</t>
  </si>
  <si>
    <t>Haj Mohamed Nermin</t>
  </si>
  <si>
    <t>ZWALUWENLAAN            27</t>
  </si>
  <si>
    <t>INSTANT STORTING VAN BE26 0638 0963 9029 Haj Mohamed   Nermin +++002/5060/01161+++ NAAR BE05 0636 4778 9475   Vroedvrouw Goedele                                     REF. : 0905443372A64 VAL. 02-07</t>
  </si>
  <si>
    <t>+++002/5060/01161+++</t>
  </si>
  <si>
    <t>270</t>
  </si>
  <si>
    <t>BE37 9734 2629 5028</t>
  </si>
  <si>
    <t>WEIS - MATVEEVA</t>
  </si>
  <si>
    <t>STADIONLAAN 3</t>
  </si>
  <si>
    <t>INSTANT STORTING VAN BE37 9734 2629 5028 WEIS -        MATVEEVA Matveeva 062025 NAAR BE05 0636 4778 9475      Goedele Deseyn                                         REF. : 080G772550148 VAL. 02-07</t>
  </si>
  <si>
    <t>Matveeva 062025</t>
  </si>
  <si>
    <t>269</t>
  </si>
  <si>
    <t>HERTOG JAN I-STRAAT 3</t>
  </si>
  <si>
    <t>INSTANT STORTING VAN BE92 7340 1765 5423 WEEMEEUW JUVA Juva 062025 NAAR BE05 0636 4778 9475 GOEDELE DESEYN    REF. : 080G772536532 VAL. 02-07</t>
  </si>
  <si>
    <t>Juva 062025</t>
  </si>
  <si>
    <t>268</t>
  </si>
  <si>
    <t>BE75 3632 5529 5451</t>
  </si>
  <si>
    <t>DE H EN MEVR KASPER FEYS Notre</t>
  </si>
  <si>
    <t>HERTOGSTRAAT 60</t>
  </si>
  <si>
    <t>INSTANT STORTING VAN BE75 3632 5529 5451 DE H EN MEVR  KASPER FEYS Notre Sophie Notre 062025 REF. :           2f339127459f49ec862df165d140249b NAAR                  BE05 0636 4778 9475 Goedele Deseyn                     REF. : 080G772519958 VAL. 02-07</t>
  </si>
  <si>
    <t>Sophie Notre 062025</t>
  </si>
  <si>
    <t>267</t>
  </si>
  <si>
    <t>BE83 3770 9610 5415</t>
  </si>
  <si>
    <t>MR AND MRS SIEGFRIED WODARZ MELLINO</t>
  </si>
  <si>
    <t>GELDENAAKSEBAAN 59 /0001</t>
  </si>
  <si>
    <t>3001        LEUVEN</t>
  </si>
  <si>
    <t>INSTANT STORTING VAN BE83 3770 9610 5415 MR AND MRS    SIEGFRIED WODARZ MELLINO Maya Mellino 062025 REF. :    20c54398905141ce940f6a16fe12923d NAAR                  BE05 0636 4778 9475 Deseyn Goedele                     REF. : 080G772514404 VAL. 02-07</t>
  </si>
  <si>
    <t>Maya Mellino 062025</t>
  </si>
  <si>
    <t>266</t>
  </si>
  <si>
    <t>STORTING VAN BE36 0639 8400 1781 Lemmens - Deseyn      Verkeerde rekening fruit                               REF. : 0905451472721 VAL. 02-07</t>
  </si>
  <si>
    <t>Verkeerde rekening fruit</t>
  </si>
  <si>
    <t>265</t>
  </si>
  <si>
    <t>GROENTEN- EN FRUITHAND</t>
  </si>
  <si>
    <t>8480  ICHTEGEM</t>
  </si>
  <si>
    <t>BANCONTACT AANKOOP - GROENTEN- EN FRUITHAND - 8480     ICHTEGEM BE - 02/07/25 12:50 - CONTACTLESS VIA WALLET  APPLE PAY - KAART 5169 20XX XXXX 5116 - Deseyn Goedele REF. : 0046087611214 VAL. 02-07</t>
  </si>
  <si>
    <t>264</t>
  </si>
  <si>
    <t>STORTING VAN BE36 0639 8400 1781 Lemmens - Deseyn      Verkeerde rekening t-shirts wolk                       REF. : 0905451871446 VAL. 01-07</t>
  </si>
  <si>
    <t>Verkeerde rekening t-shirts wolk</t>
  </si>
  <si>
    <t>263</t>
  </si>
  <si>
    <t>OVERSCHRIJVING BELFIUS MOBILE NAAR BE36 0639 8400 1781 Lemmens R-Deseyn G Juni 2025                           REF. : 090548596R802 VAL. 27-06</t>
  </si>
  <si>
    <t>Juni 2025</t>
  </si>
  <si>
    <t>262</t>
  </si>
  <si>
    <t>Alpine Nederland B.V.</t>
  </si>
  <si>
    <t>3526KS Utrecht</t>
  </si>
  <si>
    <t>261</t>
  </si>
  <si>
    <t>DOORLOPENDE BETALINGSOPDRACHT 15919897 NAAR            BE05 0682 4812 1175 Sweele B. V. Huur praktijk +       vergaderzaal                                           REF. : 080076N000955 VAL. 24-06</t>
  </si>
  <si>
    <t>260</t>
  </si>
  <si>
    <t>BE22 0017 9265 2047</t>
  </si>
  <si>
    <t>EYKENS-JANSSENS</t>
  </si>
  <si>
    <t>Kortrijksebaan 65</t>
  </si>
  <si>
    <t>STORTING VIA WERO VAN BE22 0017 9265 2047 EYKENS-      JANSSENS Wero Goedele Deseyn REF. :                    9136dbe9ecad470e8e8a8b651a590eb9 NAAR                  BE05 0636 4778 9475 Goedele Deseyn                     REF. : 080G76K181056 VAL. 20-06</t>
  </si>
  <si>
    <t>259</t>
  </si>
  <si>
    <t>BE09 7380 4376 9957</t>
  </si>
  <si>
    <t>CHAMPANHET-CHAMPANHET E + E</t>
  </si>
  <si>
    <t>OVERSCHRIJVING BELFIUS MOBILE NAAR BE09 7380 4376 9957 CHAMPANHET-CHAMPANHET E + E Elisa 012025               REF. : 090548626J162 VAL. 19-06</t>
  </si>
  <si>
    <t>Elisa 012025</t>
  </si>
  <si>
    <t>258</t>
  </si>
  <si>
    <t>BE49 0018 3902 0471</t>
  </si>
  <si>
    <t>FERMAN REBAZ</t>
  </si>
  <si>
    <t>BRUSSELSESTRAAT 290</t>
  </si>
  <si>
    <t>STORTING VAN BE49 0018 3902 0471 FERMAN REBAZ AHMAD    NALIN 052025 NAAR BE05 0636 4778 9475 Goedele          REF. : 525250571 VAL. 17-06</t>
  </si>
  <si>
    <t>AHMAD NALIN 052025</t>
  </si>
  <si>
    <t>257</t>
  </si>
  <si>
    <t>OVERSCHRIJVING BELFIUS MOBILE NAAR BE36 0639 8400 1781 Lemmens R-Deseyn G Juni 2025                           REF. : 090545026H025 VAL. 17-06</t>
  </si>
  <si>
    <t>256</t>
  </si>
  <si>
    <t>INSTANT STORTING VAN BE31 7360 3860 5155 WOLFS J. +    BLOCQUIAUX L. Lieze Blocquiaux 052025 NAAR             BE05 0636 4778 9475 VROEDVROUW GOEDELE                 REF. : 080G76G157904 VAL. 16-06</t>
  </si>
  <si>
    <t>Lieze Blocquiaux 052025</t>
  </si>
  <si>
    <t>255</t>
  </si>
  <si>
    <t>BIOPLANET LVN 3166</t>
  </si>
  <si>
    <t>BANCONTACT AANKOOP - BIOPLANET LVN 3166 - 3010 KESSEL- LO BE - 12/06/25 10:41 - CONTACTLESS - KAART 5169 20XX XXXX 5116 - Deseyn Goedele                             REF. : 0549288881035 VAL. 12-06</t>
  </si>
  <si>
    <t>254</t>
  </si>
  <si>
    <t>BE33 7360 7585 2246</t>
  </si>
  <si>
    <t>VANPAEMEL JASMIEN</t>
  </si>
  <si>
    <t>ELSTSTRAAT 113</t>
  </si>
  <si>
    <t>INSTANT STORTING VAN BE33 7360 7585 2246 VANPAEMEL     JASMIEN Jasmien Vanpaemel 052025 NAAR                  BE05 0636 4778 9475 Vroedvrouw Goedele                 REF. : 080G76B152516 VAL. 11-06</t>
  </si>
  <si>
    <t>Jasmien Vanpaemel 052025</t>
  </si>
  <si>
    <t>253</t>
  </si>
  <si>
    <t>STORTING VAN BE42 2100 5945 1554 SOLIDARIS BRABANT     10022961387 EN/ZE 051 TP REF. : TP 0807475 NAAR        BE05 0636 4778 9475 M. DESEYN GOEDELE                  REF. : 518939561 VAL. 11-06</t>
  </si>
  <si>
    <t>10022961387 EN/ZE 051                                                                              TP</t>
  </si>
  <si>
    <t>252</t>
  </si>
  <si>
    <t>BE78 3771 1458 1386</t>
  </si>
  <si>
    <t>DE H EN MEVR MARTIJN STROOBANTS NOUS</t>
  </si>
  <si>
    <t>KOETSWEG 259 B.23</t>
  </si>
  <si>
    <t>INSTANT STORTING VAN BE78 3771 1458 1386 DE H EN MEVR  MARTIJN STROOBANTS NOUS +++002/5050/02162+++ REF. :    a7893815670e484ea1b65303a10037c4 NAAR                  BE05 0636 4778 9475 Vroedvrouw Goedele                 REF. : 080G76A421733 VAL. 10-06</t>
  </si>
  <si>
    <t>+++002/5050/02162+++</t>
  </si>
  <si>
    <t>251</t>
  </si>
  <si>
    <t>BE20 8260 0054 7156</t>
  </si>
  <si>
    <t>Klarna Bank AB (publ)</t>
  </si>
  <si>
    <t>DEUTBEBE</t>
  </si>
  <si>
    <t>250</t>
  </si>
  <si>
    <t>STORTING VAN BE91 0017 2200 0176 TRANDAFIR ALEXANDRA-  ELENA +++002/5050/02869+++ NAAR BE05 0636 4778 9475    Vroedvrouw Goedele                                     REF. : 514221237 VAL. 06-06</t>
  </si>
  <si>
    <t>+++002/5050/02869+++</t>
  </si>
  <si>
    <t>249</t>
  </si>
  <si>
    <t>STORTING VAN BE61 3632 0760 6817 SOLIDARIS - UNION     000050277 EN/ZE 051 A SAL/SOLD REF. : 35 NAAR          BE05 0636 4778 9475 DESEYN GOEDELE                     REF. : 513107859 VAL. 05-06</t>
  </si>
  <si>
    <t>000050277 EN/ZE 051 A SAL/SOLD</t>
  </si>
  <si>
    <t>248</t>
  </si>
  <si>
    <t>INSTANT STORTING VAN BE33 7390 1195 4946 POEDTS L +    VANDEVELDE L +++002/5050/04384+++ NAAR                 BE05 0636 4778 9475 VROEDVROUW GOEDELE                 REF. : 080G765164658 VAL. 05-06</t>
  </si>
  <si>
    <t>+++002/5050/04384+++</t>
  </si>
  <si>
    <t>247</t>
  </si>
  <si>
    <t>OVERSCHRIJVING BELFIUS MOBILE NAAR BE36 0639 8400 1781 Lemmens R-Deseyn G Juni 2025                           REF. : 0905453065366 VAL. 05-06</t>
  </si>
  <si>
    <t>246</t>
  </si>
  <si>
    <t>LANGEVELD 216</t>
  </si>
  <si>
    <t>INSTANT STORTING VAN BE95 7360 6242 8658 DE KORT-      SCHILLEBEECKX T + E Elke Schillebeeckx 05/2025 NAAR    BE05 0636 4778 9475 VROEDVROUW GOEDELE                 REF. : 080G765075138 VAL. 05-06</t>
  </si>
  <si>
    <t>Elke Schillebeeckx 05/2025</t>
  </si>
  <si>
    <t>245</t>
  </si>
  <si>
    <t>STORTING VAN BE77 2100 9098 5042 UNION NATIONALE DES   MUTUALITES LIBRES 0202525621343051202505 40015182000   0202525621343 804062502151 REF. : 5000604C153 NAAR     BE05 0636 4778 9475 DESEYN GOEDELE                     REF. : 512313953 VAL. 05-06</t>
  </si>
  <si>
    <t>0202525621343051202505 40015182000 0202525621343 804062502151</t>
  </si>
  <si>
    <t>244</t>
  </si>
  <si>
    <t>00006</t>
  </si>
  <si>
    <t>243</t>
  </si>
  <si>
    <t>STORTING VAN BE72 3100 4038 3816 UNION NATIONALE DES   0202525372929051202505 40015182000 0202525372929       804062503782 REF. : 4000604D785 NAAR                   BE05 0636 4778 9475 DESEYN GOEDELE                     REF. : 511365716 VAL. 04-06</t>
  </si>
  <si>
    <t>0202525372929051202505 40015182000 0202525372929 804062503782</t>
  </si>
  <si>
    <t>242</t>
  </si>
  <si>
    <t>STORTING VAN BE55 3100 1941 5244 LNZ-UNMN              0202525364741051202505 40015182000 0202525364741       803062500865 REF. : 2000603A865 NAAR                   BE05 0636 4778 9475 DESEYN GOEDELE                     REF. : 511365321 VAL. 04-06</t>
  </si>
  <si>
    <t>0202525364741051202505 40015182000 0202525364741 803062500865</t>
  </si>
  <si>
    <t>241</t>
  </si>
  <si>
    <t>INSTANT STORTING VAN BE83 3770 9610 5415 MR AND MRS    SIEGFRIED WODARZ MELLINO Maya 052025 REF. :            2fb80d8130c24d648c36cdcaf48116d9 NAAR                  BE05 0636 4778 9475 Goedele Deseyn                     REF. : 080G764273491 VAL. 04-06</t>
  </si>
  <si>
    <t>Maya 052025</t>
  </si>
  <si>
    <t>240</t>
  </si>
  <si>
    <t>STORTING VAN BE29 6512 1872 1464 Pieters-Bierut        Katarzyna Bierut 05/2025 REF. :                        20250604ST2101004986-000674 NAAR BE05 0636 4778 9475   Midwife                                                REF. : 511191111 VAL. 04-06</t>
  </si>
  <si>
    <t>239</t>
  </si>
  <si>
    <t>Zandgang 8B0001</t>
  </si>
  <si>
    <t>STORTING VAN BE77 6512 0956 2442 Vandendoorent-Wevers  +++002/5050/03879+++ REF. :                            20250604ST2101004986-000673 NAAR BE05 0636 4778 9475   Vroedvrouw Goedele                                     REF. : 511191110 VAL. 04-06</t>
  </si>
  <si>
    <t>+++002/5050/03879+++</t>
  </si>
  <si>
    <t>238</t>
  </si>
  <si>
    <t>BE68 7330 0583 9834</t>
  </si>
  <si>
    <t>MEEUS HEIDI</t>
  </si>
  <si>
    <t>GASTON EYSKENSLAAN 28</t>
  </si>
  <si>
    <t>INSTANT STORTING VAN BE68 7330 0583 9834 MEEUS HEIDI   Heidi Meeus 052025 NAAR BE05 0636 4778 9475 VROEDVROUW GOEDELE                                                REF. : 080G764191909 VAL. 04-06</t>
  </si>
  <si>
    <t>Heidi Meeus 052025</t>
  </si>
  <si>
    <t>237</t>
  </si>
  <si>
    <t>DE48 1001 8000 0304 6171 12</t>
  </si>
  <si>
    <t>Meet In The Mountains</t>
  </si>
  <si>
    <t>OVERSCHRIJVING BELFIUS MOBILE NAAR                     DE48 1001 8000 0304 6171 12 Meet In The Mountains      Invoice No. 32                                         REF. : 0905456363B44 VAL. 04-06</t>
  </si>
  <si>
    <t>FNOMDEB2</t>
  </si>
  <si>
    <t>Invoice No. 32</t>
  </si>
  <si>
    <t>236</t>
  </si>
  <si>
    <t>Auxiliant Sarl</t>
  </si>
  <si>
    <t>OVERSCHRIJVING VIA Klarna Bank AB NAAR                 DE83 5007 0010 0175 9562 00 Auxiliant Sarl             RLLMHZ3WM8VDZ7G6 LivecareerNL a88fd9e0-3c05-4a09-a962- a7be2a9bf20                                            REF. : 0905659563002 VAL. 03-06</t>
  </si>
  <si>
    <t>DEUTDEFF</t>
  </si>
  <si>
    <t>RLLMHZ3WM8VDZ7G6 LivecareerNL</t>
  </si>
  <si>
    <t>235</t>
  </si>
  <si>
    <t>INSTANT STORTING VAN BE92 7340 1765 5423 WEEMEEUW JUVA Juva 052025 NAAR BE05 0636 4778 9475 GOEDELE DESEYN    REF. : 080G763133666 VAL. 03-06</t>
  </si>
  <si>
    <t>Juva 052025</t>
  </si>
  <si>
    <t>234</t>
  </si>
  <si>
    <t>BE97 0019 6839 6849</t>
  </si>
  <si>
    <t>VOORDECKERS-FREMOUT</t>
  </si>
  <si>
    <t>Ierse-Predikherenstra 23</t>
  </si>
  <si>
    <t>INSTANT STORTING VAN BE97 0019 6839 6849 VOORDECKERS-  FREMOUT Nadia Voordeckers 052025 REF. :                f4819b874ba1445183dad65ed5039aee NAAR                  BE05 0636 4778 9475 goedele deseyn                     REF. : 080G763009297 VAL. 03-06</t>
  </si>
  <si>
    <t>Nadia Voordeckers 052025</t>
  </si>
  <si>
    <t>233</t>
  </si>
  <si>
    <t>INSTANT STORTING VAN BE75 3632 5529 5451 DE H EN MEVR  KASPER FEYS Notre Sophie Notre 052025 REF. :           f3b8ff80a2804aec8d82afff23f786fd NAAR                  BE05 0636 4778 9475 Goedele Deseyn                     REF. : 080G762461133 VAL. 02-06</t>
  </si>
  <si>
    <t>Sophie Notre 052025</t>
  </si>
  <si>
    <t>232</t>
  </si>
  <si>
    <t>BE05 7340 3229 7975</t>
  </si>
  <si>
    <t>VANDERMEEREN CHARLOTTE</t>
  </si>
  <si>
    <t>NAAMSESTEENWEG 365</t>
  </si>
  <si>
    <t>INSTANT STORTING VAN BE05 7340 3229 7975 VANDERMEEREN  CHARLOTTE +++002/5050/03273+++ NAAR                    BE05 0636 4778 9475 Goedele Deseyn- Vroedvrouw         REF. : 080G762444813 VAL. 02-06</t>
  </si>
  <si>
    <t>+++002/5050/03273+++</t>
  </si>
  <si>
    <t>231</t>
  </si>
  <si>
    <t>BE49 9792 2748 1371</t>
  </si>
  <si>
    <t>MARGOT VANDEGAER</t>
  </si>
  <si>
    <t>KORTEBERGSTRAAT 18</t>
  </si>
  <si>
    <t>3212 PELLENBERG</t>
  </si>
  <si>
    <t>INSTANT STORTING VAN BE49 9792 2748 1371 MARGOT        VANDEGAER +++002/5050/03172+++ NAAR                    BE05 0636 4778 9475 Vroedvrouw Goedele                 REF. : 080G762441275 VAL. 02-06</t>
  </si>
  <si>
    <t>+++002/5050/03172+++</t>
  </si>
  <si>
    <t>230</t>
  </si>
  <si>
    <t>BE82 3770 5923 1368</t>
  </si>
  <si>
    <t>MRS ANNA MATVEEVA</t>
  </si>
  <si>
    <t>INSTANT STORTING VAN BE82 3770 5923 1368 MRS ANNA      MATVEEVA +++002/5050/01758+++ REF. :                   284cce2386a1404586926afc078f1418 NAAR                  BE05 0636 4778 9475 Vroedvrouw Goedele                 REF. : 080G762394065 VAL. 02-06</t>
  </si>
  <si>
    <t>+++002/5050/01758+++</t>
  </si>
  <si>
    <t>229</t>
  </si>
  <si>
    <t>BE16 0636 9843 3074</t>
  </si>
  <si>
    <t>Peeters - Vromans</t>
  </si>
  <si>
    <t>VERHAEGENSTRAAT         34</t>
  </si>
  <si>
    <t>3220  HOLSBEEK</t>
  </si>
  <si>
    <t>STORTING VAN BE16 0636 9843 3074 Peeters - Vromans     +++002/5050/04182+++                                   REF. : 0905498162A22 VAL. 02-06</t>
  </si>
  <si>
    <t>+++002/5050/04182+++</t>
  </si>
  <si>
    <t>228</t>
  </si>
  <si>
    <t>INSTANT STORTING VAN BE20 3771 2403 5856 DE H EN MEVR  WOUTER MANCINI HOPPENBROUWERS +++002/5050/01556+++     REF.: 45c305e64c5a44469208f092e972dc1b NAAR            BE05 0636 4778 9475 Vroedvrouw Goedele                 REF. : 080G762373593 VAL. 02-06</t>
  </si>
  <si>
    <t>+++002/5050/01556+++</t>
  </si>
  <si>
    <t>227</t>
  </si>
  <si>
    <t>226</t>
  </si>
  <si>
    <t>INSTANT STORTING VAN BE95 7360 6242 8658 DE KORT-      SCHILLEBEECKX T + E +++002/5040/09429+++ NAAR          BE05 0636 4778 9475 VROEDVROUW GOEDELE                 REF. : 080G75T144312 VAL. 29-05</t>
  </si>
  <si>
    <t>+++002/5040/09429+++</t>
  </si>
  <si>
    <t>225</t>
  </si>
  <si>
    <t>BE20 7310 6364 0156</t>
  </si>
  <si>
    <t>DEBALS-HERMANS B + C</t>
  </si>
  <si>
    <t>PATRIJZENLAAN 2</t>
  </si>
  <si>
    <t>INSTANT STORTING VAN BE20 7310 6364 0156 DEBALS-       HERMANS B + C +++002/5040/09126+++ NAAR                BE05 0636 4778 9475 Vroedvrouw Goedele                 REF. : 080G75S547487 VAL. 28-05</t>
  </si>
  <si>
    <t>+++002/5040/09126+++</t>
  </si>
  <si>
    <t>224</t>
  </si>
  <si>
    <t>973-3519877-72</t>
  </si>
  <si>
    <t>BANKSYS</t>
  </si>
  <si>
    <t>BANCONTACT APP OF MOBILE BANKING APP ONTVANGST -       Deseyn Goedele P2P MOBILE - 26/05/25 10:29 - KAART     6703 97XX XXXX 7701                                    REF. : 082555Q625689 VAL. 26-05</t>
  </si>
  <si>
    <t>223</t>
  </si>
  <si>
    <t>DOORLOPENDE BETALINGSOPDRACHT 15919897 NAAR            BE05 0682 4812 1175 Sweele B. V. Huur praktijk +       vergaderzaal                                           REF. : 080075N005167 VAL. 26-05</t>
  </si>
  <si>
    <t>222</t>
  </si>
  <si>
    <t>JBC 208 LEUVEN</t>
  </si>
  <si>
    <t>BANCONTACT AANKOOP - JBC 208 LEUVEN - 3000 LEUVEN BE - 24/05/25 11:07 - CONTACTLESS - KAART 5169 20XX XXXX    5116 - Deseyn Goedele                                  REF. : 0508311361128 VAL. 24-05</t>
  </si>
  <si>
    <t>221</t>
  </si>
  <si>
    <t>OVERSCHRIJVING BELFIUS MOBILE NAAR BE36 0639 8400 1781 Lemmens R-Deseyn G Mei 2025                            REF. : 090549115N599 VAL. 23-05</t>
  </si>
  <si>
    <t>Mei 2025</t>
  </si>
  <si>
    <t>220</t>
  </si>
  <si>
    <t>BE70 7350 4592 3525</t>
  </si>
  <si>
    <t>CLAERMAN D + NACKOM C</t>
  </si>
  <si>
    <t>VIERHUIZENSTRAAT     21</t>
  </si>
  <si>
    <t>3012     WILSELE</t>
  </si>
  <si>
    <t>INSTANT STORTING VAN BE70 7350 4592 3525 CLAERMAN D +  NACKOM C +++002/5040/07308+++ NAAR BE05 0636 4778 9475 Vroedvrouw Goedele                                     REF. : 080G75L151652 VAL. 21-05</t>
  </si>
  <si>
    <t>+++002/5040/07308+++</t>
  </si>
  <si>
    <t>219</t>
  </si>
  <si>
    <t>BE47 0636 6959 5580</t>
  </si>
  <si>
    <t>Geukens - Vasilachi</t>
  </si>
  <si>
    <t>VAN DER NOOTSTRAAT      90</t>
  </si>
  <si>
    <t>STORTING VAN BE47 0636 6959 5580 Geukens - Vasilachi   Andreea Vasilachi 042025                               REF. : 090544435K678 VAL. 20-05</t>
  </si>
  <si>
    <t>Andreea Vasilachi 042025</t>
  </si>
  <si>
    <t>218</t>
  </si>
  <si>
    <t>STORTING VAN BE42 2100 5945 1554 SOLIDARIS BRABANT     10022646225 EN/ZE 041 TP REF. : TP 0807475 NAAR        BE05 0636 4778 9475 M. DESEYN GOEDELE                  REF. : 486768856 VAL. 16-05</t>
  </si>
  <si>
    <t>10022646225 EN/ZE 041                                                                              TP</t>
  </si>
  <si>
    <t>217</t>
  </si>
  <si>
    <t>OVERSCHRIJVING BELFIUS MOBILE NAAR BE36 0639 8400 1781 Lemmens R-Deseyn G April 2025                          REF. : 090540195F584 VAL. 15-05</t>
  </si>
  <si>
    <t>April 2025</t>
  </si>
  <si>
    <t>216</t>
  </si>
  <si>
    <t>OVERSCHRIJVING BELFIUS MOBILE NAAR BE40 7340 3856 2963 Apotheek De Vos Wilselsesteenweg 142 3010 Kessel Lo BE 2025014                                                REF. : 090548245E641 VAL. 14-05</t>
  </si>
  <si>
    <t>2025014</t>
  </si>
  <si>
    <t>215</t>
  </si>
  <si>
    <t>BE19 0637 5703 4212</t>
  </si>
  <si>
    <t>Verbruggen - Glas</t>
  </si>
  <si>
    <t>HOLSBEEKSESTEENWEG     331</t>
  </si>
  <si>
    <t>STORTING VAN BE19 0637 5703 4212 Verbruggen - Glas     Leonie Glas 042025                                     REF. : 090545275A280 VAL. 10-05</t>
  </si>
  <si>
    <t>Leonie Glas 042025</t>
  </si>
  <si>
    <t>214</t>
  </si>
  <si>
    <t>BE92 9501 2982 3923</t>
  </si>
  <si>
    <t>MEJ. IRIS ELST</t>
  </si>
  <si>
    <t>WILDERBOS 12</t>
  </si>
  <si>
    <t>STORTING VAN BE92 9501 2982 3923 MEJ. IRIS ELST Iris   Elst 042025 REF. : VZ51273X1F879U01 NAAR               BE05 0636 4778 9475 Goedele Deseyn                     REF. : 477724574 VAL. 08-05</t>
  </si>
  <si>
    <t>CTBKBEBX</t>
  </si>
  <si>
    <t>Iris Elst 042025</t>
  </si>
  <si>
    <t>213</t>
  </si>
  <si>
    <t>OVERSCHRIJVING BELFIUS MOBILE NAAR BE49 7310 5930 5771 BV grow training +++025/0401/25927+++                  REF. : 0905487358180 VAL. 08-05</t>
  </si>
  <si>
    <t>+++025/0401/25927+++</t>
  </si>
  <si>
    <t>212</t>
  </si>
  <si>
    <t>STORTING VAN BE77 2100 9098 5042 UNION NATIONALE DES   MUTUALITES LIBRES 0202525515619041202504 40015182000   0202525515619 807052506515 REF. : 5000507G521 NAAR     BE05 0636 4778 9475 DESEYN GOEDELE                     REF. : 476969145 VAL. 08-05</t>
  </si>
  <si>
    <t>0202525515619041202504 40015182000 0202525515619 807052506515</t>
  </si>
  <si>
    <t>211</t>
  </si>
  <si>
    <t>INSTANT STORTING VAN BE43 3770 9429 9801 DE H EN MEVR  THOMAS GILIS VANALPHEN Melissa Vanalphen 042025 REF. : 34989978fc7343e1a08a14bf29f829fb NAAR                  BE05 0636 4778 9475 Vroedvrouw goedele                 REF. : 080G757326452 VAL. 07-05</t>
  </si>
  <si>
    <t>Melissa Vanalphen 042025</t>
  </si>
  <si>
    <t>210</t>
  </si>
  <si>
    <t>FONK VZW</t>
  </si>
  <si>
    <t>BANCONTACT AANKOOP - FONK VZW - 3000 LEUVEN BE -       07/05/25 12:54 - 729PHVN Cinema ZED - order 182 - VIA  INTERNET - KAART 5169 20XX XXXX 5116 - Deseyn Goedele  REF. : 037LLIEBC2809 VAL. 07-05</t>
  </si>
  <si>
    <t>209</t>
  </si>
  <si>
    <t>OVERSCHRIJVING BELFIUS MOBILE NAAR BE36 0639 8400 1781 Lemmens R-Deseyn G Terugbetaling fietsen king          REF. : 0905419357379 VAL. 07-05</t>
  </si>
  <si>
    <t>Terugbetaling fietsen king</t>
  </si>
  <si>
    <t>208</t>
  </si>
  <si>
    <t>BE15 1030 6126 1430</t>
  </si>
  <si>
    <t>Proost - Verhelst</t>
  </si>
  <si>
    <t>3210 Lubbeek</t>
  </si>
  <si>
    <t>STORTING VAN BE15 1030 6126 1430 Proost - Verhelst     +++002/5040/08520+++ NAAR BE05 0636 4778 9475          Vroedvrouw Goedele                                     REF. : 475444053 VAL. 07-05</t>
  </si>
  <si>
    <t>+++002/5040/08520+++</t>
  </si>
  <si>
    <t>207</t>
  </si>
  <si>
    <t>206</t>
  </si>
  <si>
    <t>OVERSCHRIJVING BELFIUS MOBILE NAAR BE36 0639 8400 1781 Lemmens R-Deseyn G Terugbetaling Adobe                 REF. : 0905464156A32 VAL. 06-05</t>
  </si>
  <si>
    <t>Terugbetaling Adobe</t>
  </si>
  <si>
    <t>205</t>
  </si>
  <si>
    <t>INSTANT STORTING VAN BE55 3100 1941 5244 LNZ-UNMN      0202525303221041202504 40015182000 0202525303221       806052512814 REF. : 2000506M826 NAAR                   BE05 0636 4778 9475 DESEYN GOEDELE                     REF. : 080G756294143 VAL. 06-05</t>
  </si>
  <si>
    <t>0202525303221041202504 40015182000 0202525303221 806052512814</t>
  </si>
  <si>
    <t>204</t>
  </si>
  <si>
    <t>LANDSBOND DER CHRISTELIJKE</t>
  </si>
  <si>
    <t>MUTUALITEIT</t>
  </si>
  <si>
    <t>1030  SCHAARBEEK</t>
  </si>
  <si>
    <t>203</t>
  </si>
  <si>
    <t>BE13 0019 1336 7739</t>
  </si>
  <si>
    <t>VAN ROEY-JOOS</t>
  </si>
  <si>
    <t>PATER LIEVENSLAAN 24</t>
  </si>
  <si>
    <t>STORTING VAN BE13 0019 1336 7739 VAN ROEY-JOOS         +++002/5040/07005+++ NAAR BE05 0636 4778 9475          Vroedvrouw Goedele                                     REF. : 473272395 VAL. 06-05</t>
  </si>
  <si>
    <t>+++002/5040/07005+++</t>
  </si>
  <si>
    <t>202</t>
  </si>
  <si>
    <t>CAISSE AUXILIAIRE D'ASSURANCE MALADIE-INVALIDITE</t>
  </si>
  <si>
    <t>Rue du Trone 30</t>
  </si>
  <si>
    <t>STORTING VAN BE49 0012 1225 4971 CAISSE AUXILIAIRE     D'ASSURANCE MALADIE-INVALIDITE                         041/202504/699/2025-101182/A - Ref:                    db0f4d38-8734-4497-9dc4-1c7f0d1f5479 REF. :            BIL104400965 NAAR BE05 0636 4778 9475 GOEDELE DESEYN   REF. : 473201358 VAL. 06-05</t>
  </si>
  <si>
    <t>041/202504/699/2025-101182/A - Ref: db0f4d38-8734-4497-9dc4-1c7f0d1f5479</t>
  </si>
  <si>
    <t>201</t>
  </si>
  <si>
    <t>INSTANT STORTING VAN BE98 7340 5398 8993 CRAENEN LARA  Lara Craenen 042025 NAAR BE05 0636 4778 9475           Vroedvrouw Goedele                                     REF. : 080G755534096 VAL. 05-05</t>
  </si>
  <si>
    <t>Lara Craenen 042025</t>
  </si>
  <si>
    <t>00005</t>
  </si>
  <si>
    <t>200</t>
  </si>
  <si>
    <t>BE24 0688 9492 3138</t>
  </si>
  <si>
    <t>Lab9 Leuven</t>
  </si>
  <si>
    <t>OVERSCHRIJVING PAYCONIQ NAAR BE24 0688 9492 3138 Lab9  Leuven Payconiq 680069eae2507898107cdb47 Lab9 Leuven   244708044 244708044 680069eae2507898107cdb47           REF. : 0905518455010 VAL. 05-05</t>
  </si>
  <si>
    <t>Payconiq 680069eae2507898107cdb47 Lab9 Leuven                                                 244708044 244708044</t>
  </si>
  <si>
    <t>199</t>
  </si>
  <si>
    <t>BE04 9730 6671 6331</t>
  </si>
  <si>
    <t>CHAMAL KHEDER ZEINADIN</t>
  </si>
  <si>
    <t>SPELTSTRAAT 5</t>
  </si>
  <si>
    <t>INSTANT STORTING VAN BE04 9730 6671 6331 CHAMAL KHEDER ZEINADIN Rasul Khozga 042025 NAAR BE05 0636 4778 9475  Vroedvrouw Goedele Deseyn                              REF. : 080G753200216 VAL. 03-05</t>
  </si>
  <si>
    <t>Rasul Khozga 042025</t>
  </si>
  <si>
    <t>198</t>
  </si>
  <si>
    <t>BE67 0636 5312 5687</t>
  </si>
  <si>
    <t>VRANCKX - Uytterhoeven</t>
  </si>
  <si>
    <t>VOSKEN                  60</t>
  </si>
  <si>
    <t>STORTING VAN BE67 0636 5312 5687 VRANCKX -             Uytterhoeven +++002/5040/02961+++                      REF. : 0905465953458 VAL. 03-05</t>
  </si>
  <si>
    <t>+++002/5040/02961+++</t>
  </si>
  <si>
    <t>197</t>
  </si>
  <si>
    <t>BE26 7340 3758 9529</t>
  </si>
  <si>
    <t>MOEYS-DE VOS H + H</t>
  </si>
  <si>
    <t>STICHELWEG           38   B2</t>
  </si>
  <si>
    <t>3360     KORBEEK-LO</t>
  </si>
  <si>
    <t>INSTANT STORTING VAN BE26 7340 3758 9529 MOEYS-DE VOS  H + H +++002/5040/00638+++ NAAR BE05 0636 4778 9475    Vroedvrouw Goedele                                     REF. : 080G753126293 VAL. 03-05</t>
  </si>
  <si>
    <t>+++002/5040/00638+++</t>
  </si>
  <si>
    <t>196</t>
  </si>
  <si>
    <t>BE48 0636 0881 0027</t>
  </si>
  <si>
    <t>Mirza Asid</t>
  </si>
  <si>
    <t>EENMEILAAN         223/402</t>
  </si>
  <si>
    <t>STORTING VAN BE48 0636 0881 0027 Mirza Asid 042025     hafiza misbah rasool                                   REF. : 0905477752924 VAL. 02-05</t>
  </si>
  <si>
    <t>042025 hafiza misbah rasool</t>
  </si>
  <si>
    <t>195</t>
  </si>
  <si>
    <t>BE25 7350 5412 5782</t>
  </si>
  <si>
    <t>SAHA-XXX P + R</t>
  </si>
  <si>
    <t>HERTOG JAN I-STRAAT  1    B0001</t>
  </si>
  <si>
    <t>3010     KESSEL-LO</t>
  </si>
  <si>
    <t>INSTANT STORTING VAN BE25 7350 5412 5782 SAHA-XXX P +R Ayana Rajagopal 042025 NAAR BE05 0636 4778 9475        Vroedvrouw Goedele                                     REF. : 080G752402567 VAL. 02-05</t>
  </si>
  <si>
    <t>Ayana Rajagopal 042025</t>
  </si>
  <si>
    <t>194</t>
  </si>
  <si>
    <t>BE87 9733 6818 8994</t>
  </si>
  <si>
    <t>FROONINCKX - VANDEGAER</t>
  </si>
  <si>
    <t>INSTANT STORTING VAN BE87 9733 6818 8994 FROONINCKX -  VANDEGAER +++002/5040/08318+++ NAAR                    BE05 0636 4778 9475 Vroedvrouw Goedele                 REF. : 080G752401834 VAL. 02-05</t>
  </si>
  <si>
    <t>+++002/5040/08318+++</t>
  </si>
  <si>
    <t>193</t>
  </si>
  <si>
    <t>BE02 7340 0323 3240</t>
  </si>
  <si>
    <t>VAN EYKEN LIEKE</t>
  </si>
  <si>
    <t>SCHOOLSTRAAT         52</t>
  </si>
  <si>
    <t>3110     ROTSELAAR</t>
  </si>
  <si>
    <t>INSTANT STORTING VAN BE02 7340 0323 3240 VAN EYKEN     LIEKE Lieke Van Eyken 04/2025 NAAR BE05 0636 4778 9475 Vroedvrouw Goedele                                     REF. : 080G752401140 VAL. 02-05</t>
  </si>
  <si>
    <t>Lieke Van Eyken 04/2025</t>
  </si>
  <si>
    <t>192</t>
  </si>
  <si>
    <t>BE72 9734 2396 5816</t>
  </si>
  <si>
    <t>FLORE - VAN DRIESSCHE</t>
  </si>
  <si>
    <t>ROZENSTRAAT 3</t>
  </si>
  <si>
    <t>3210 LINDEN</t>
  </si>
  <si>
    <t>INSTANT STORTING VAN BE72 9734 2396 5816 FLORE - VAN   DRIESSCHE +++002/5040/04981+++ NAAR                    BE05 0636 4778 9475 Vroedvrouw Goedele                 REF. : 080G752387869 VAL. 02-05</t>
  </si>
  <si>
    <t>+++002/5040/04981+++</t>
  </si>
  <si>
    <t>191</t>
  </si>
  <si>
    <t>OVERSCHRIJVING BELFIUS MOBILE NAAR BE32 7331 2807 6002 Allsoft Bvba 20250359                                  REF. : 090541694U655 VAL. 30-04</t>
  </si>
  <si>
    <t>20250359</t>
  </si>
  <si>
    <t>190</t>
  </si>
  <si>
    <t>ACTION 2028</t>
  </si>
  <si>
    <t>BANCONTACT AANKOOP - ACTION 2028 - 3220 HOLSBEEK BE -  29/04/25 14:51 - CONTACTLESS VIA WALLET APPLE PAY -    KAART 5169 20XX XXXX 5116 - Deseyn Goedele             REF. : 0324279760000 VAL. 29-04</t>
  </si>
  <si>
    <t>189</t>
  </si>
  <si>
    <t>OVERSCHRIJVING BELFIUS MOBILE NAAR BE36 0639 8400 1781 Lemmens R-Deseyn G April 2025                          REF. : 090544364S699 VAL. 28-04</t>
  </si>
  <si>
    <t>188</t>
  </si>
  <si>
    <t>INSTANT STORTING VAN BE48 0636 0881 0027 Mirza Asid    032025 NAAR BE05 0636 4778 9475 Goedele Vroedvrouw     REF. : 090545464P780 VAL. 25-04</t>
  </si>
  <si>
    <t>032025</t>
  </si>
  <si>
    <t>187</t>
  </si>
  <si>
    <t>Maree Basse</t>
  </si>
  <si>
    <t>OVERSCHRIJVING E-COMMERCE NAAR BE42 0689 0209 3054     Maree Basse M13506227MNM9MRS Order 45                  REF. : 090549204P557 VAL. 25-04</t>
  </si>
  <si>
    <t>M13506227MNM9MRS Order 45</t>
  </si>
  <si>
    <t>186</t>
  </si>
  <si>
    <t>STORTING VAN BE36 0639 8400 1781 Lemmens - Deseyn Esso verkeerde rekening                                     REF. : 090546514O123 VAL. 24-04</t>
  </si>
  <si>
    <t>Esso verkeerde rekening</t>
  </si>
  <si>
    <t>185</t>
  </si>
  <si>
    <t>OVERSCHRIJVING BELFIUS MOBILE NAAR BE98 0689 5286 6793 Huis van Meraki Stamper &amp; Stuifmeel verkeerde rekening REF. : 090541654O100 VAL. 24-04</t>
  </si>
  <si>
    <t>Stamper &amp; Stuifmeel verkeerde rekening</t>
  </si>
  <si>
    <t>184</t>
  </si>
  <si>
    <t>DOORLOPENDE BETALINGSOPDRACHT 15919897 NAAR            BE05 0682 4812 1175 Sweele B. V. Huur praktijk +       vergaderzaal                                           REF. : 080074N003518 VAL. 24-04</t>
  </si>
  <si>
    <t>183</t>
  </si>
  <si>
    <t>BE40 7330 3953 0863</t>
  </si>
  <si>
    <t>RYMENANTS-VAN DEN BOGERD R + H</t>
  </si>
  <si>
    <t>SCHOOLBERGENSTRAAT   189B</t>
  </si>
  <si>
    <t>INSTANT STORTING VAN BE40 7330 3953 0863 RYMENANTS-VAN DEN BOGERD R + H Bloemen voor Leila NAAR               BE05 0636 4778 9475 Goedele Desseyn                    REF. : 080G74N354146 VAL. 23-04</t>
  </si>
  <si>
    <t>Bloemen voor Leila</t>
  </si>
  <si>
    <t>182</t>
  </si>
  <si>
    <t>Esso Station Lauenau 3</t>
  </si>
  <si>
    <t>31867 Lauenau</t>
  </si>
  <si>
    <t>181</t>
  </si>
  <si>
    <t>POSTERLOUNGE.NL</t>
  </si>
  <si>
    <t>04329 LEIPZIG</t>
  </si>
  <si>
    <t>BANCONTACT AANKOOP - POSTERLOUNGE. NL - 04329 LEIPZIG  DE - 20/04/25 20:12 - VIA INTERNET - KAART 5169 20XX   XXXX 5116 - Deseyn Goedele                             REF. : 0320000000000 VAL. 20-04</t>
  </si>
  <si>
    <t>180</t>
  </si>
  <si>
    <t>INSTANT STORTING VAN BE49 7340 2076 4271 NACKOM        CHARLOTTE +++002/5030/08107+++ NAAR                    BE05 0636 4778 9475 Vroedvrouw Goedele                 REF. : 080G74F355866 VAL. 15-04</t>
  </si>
  <si>
    <t>+++002/5030/08107+++</t>
  </si>
  <si>
    <t>179</t>
  </si>
  <si>
    <t>BE65 3771 0177 8396</t>
  </si>
  <si>
    <t>DE H GEERT GOOSSENS EN</t>
  </si>
  <si>
    <t>EVERBERGSTRAAT 73</t>
  </si>
  <si>
    <t>3071        ERPS-KWERPS</t>
  </si>
  <si>
    <t>INSTANT STORTING VAN BE65 3771 0177 8396 DE H GEERT    GOOSSENS EN +++002/5030/10632+++ REF. :                1ef50ee20efe44bdbd684aee44ab043e NAAR                  BE05 0636 4778 9475 Vroedvrouw Goedele                 REF. : 080G74F330078 VAL. 15-04</t>
  </si>
  <si>
    <t>+++002/5030/10632+++</t>
  </si>
  <si>
    <t>178</t>
  </si>
  <si>
    <t>STORTING VAN BE42 2100 5945 1554 SOLIDARIS BRABANT     10022301589 EN/ZE 031 TP REF. : TP 0807475 NAAR        BE05 0636 4778 9475 M. DESEYN GOEDELE                  REF. : 446743963 VAL. 14-04</t>
  </si>
  <si>
    <t>10022301589 EN/ZE 031                                                                              TP</t>
  </si>
  <si>
    <t>177</t>
  </si>
  <si>
    <t>OVERSCHRIJVING BELFIUS MOBILE NAAR Acerta Sociaal      Verzekeringsfonds Vzw - +++821/0060/90514+++           REF. : 090549224C060 VAL. 12-04</t>
  </si>
  <si>
    <t>176</t>
  </si>
  <si>
    <t>OVERSCHRIJVING BELFIUS MOBILE NAAR Acerta Sociaal      Verzekeringsfonds Vzw - +++821/0060/90514+++           REF. : 090547464C043 VAL. 12-04</t>
  </si>
  <si>
    <t>175</t>
  </si>
  <si>
    <t>BE61 0018 9526 5317</t>
  </si>
  <si>
    <t>PAKALAPATI SHIVA</t>
  </si>
  <si>
    <t>STOKERIJSTRAAT 3</t>
  </si>
  <si>
    <t>STORTING VAN BE61 0018 9526 5317 PAKALAPATI SHIVA      +++002/5020/08094+++ NAAR BE05 0636 4778 9475          Vroedvrouw Goedele                                     REF. : 444735539 VAL. 11-04</t>
  </si>
  <si>
    <t>+++002/5020/08094+++</t>
  </si>
  <si>
    <t>174</t>
  </si>
  <si>
    <t>STORTING VAN BE61 0018 9526 5317 PAKALAPATI SHIVA      +++002/5030/08208+++ NAAR BE05 0636 4778 9475          Vroedvrouw Goedele                                     REF. : 444734690 VAL. 11-04</t>
  </si>
  <si>
    <t>+++002/5030/08208+++</t>
  </si>
  <si>
    <t>173</t>
  </si>
  <si>
    <t>STORTING VAN BE55 3100 1941 5244 LNZ-UNMN              0202525236251031202503 40015182000 0202525236251       808042501635 REF. : 2000408B636 NAAR                   BE05 0636 4778 9475 DESEYN GOEDELE                     REF. : 442806231 VAL. 09-04</t>
  </si>
  <si>
    <t>0202525236251031202503 40015182000 0202525236251 808042501635</t>
  </si>
  <si>
    <t>172</t>
  </si>
  <si>
    <t>MAMZEL</t>
  </si>
  <si>
    <t>3560  LUMMEN</t>
  </si>
  <si>
    <t>BANCONTACT AANKOOP - MAMZEL - 3560 LUMMEN BE -         09/04/25 16:10 - CONTACTLESS - KAART 5169 20XX XXXX    5116 - Deseyn Goedele                                  REF. : 0395639450042 VAL. 09-04</t>
  </si>
  <si>
    <t>171</t>
  </si>
  <si>
    <t>STORTING VAN BE61 3632 0760 6817 SOLIDARIS - UNION     000034092 EN/ZE 031 A SAL/SOLD REF. : 1027 NAAR        BE05 0636 4778 9475 DESEYN GOEDELE                     REF. : 442690305 VAL. 09-04</t>
  </si>
  <si>
    <t>000034092 EN/ZE 031 A SAL/SOLD</t>
  </si>
  <si>
    <t>170</t>
  </si>
  <si>
    <t>STORTING VAN BE77 2100 9098 5042 UNION NATIONALE DES   MUTUALITES LIBRES 0202525399960031202503 40015182000   0202525399960 808042505256 REF. : 5000408F261 NAAR     BE05 0636 4778 9475 DESEYN GOEDELE                     REF. : 442072278 VAL. 09-04</t>
  </si>
  <si>
    <t>0202525399960031202503 40015182000 0202525399960 808042505256</t>
  </si>
  <si>
    <t>169</t>
  </si>
  <si>
    <t>LEUVENSESTEENWEG     458</t>
  </si>
  <si>
    <t>3370     BOUTERSEM</t>
  </si>
  <si>
    <t>INSTANT STORTING VAN BE09 7380 4376 9957 CHAMPANHET-   CHAMPANHET E + E Elisa 022025 NAAR BE05 0636 4778 9475 GOEDELE DESEYN                                         REF. : 080G748084932 VAL. 08-04</t>
  </si>
  <si>
    <t>Elisa 022025</t>
  </si>
  <si>
    <t>168</t>
  </si>
  <si>
    <t>INSTANT STORTING VAN BE09 7380 4376 9957 CHAMPANHET-   CHAMPANHET E + E Elisa 032025 NAAR BE05 0636 4778 9475 GOEDELE DESEYN                                         REF. : 080G748084339 VAL. 08-04</t>
  </si>
  <si>
    <t>Elisa 032025</t>
  </si>
  <si>
    <t>167</t>
  </si>
  <si>
    <t>BE72 0019 3219 3116</t>
  </si>
  <si>
    <t>DE MEULENAER RANI</t>
  </si>
  <si>
    <t>TREMELOBAAN 131</t>
  </si>
  <si>
    <t>3140 KEERBERGEN</t>
  </si>
  <si>
    <t>STORTING VAN BE72 0019 3219 3116 DE MEULENAER RANI     +++002/5030/00932+++ NAAR BE05 0636 4778 9475          Vroedvrouw Goedele                                     REF. : 440573572 VAL. 08-04</t>
  </si>
  <si>
    <t>+++002/5030/00932+++</t>
  </si>
  <si>
    <t>166</t>
  </si>
  <si>
    <t>STORTING VAN BE72 3100 4038 3816 UNION NATIONALE DES   0202525240733031202503 40015182000 0202525240733       807042501478 REF. : 4000407B479 NAAR                   BE05 0636 4778 9475 DESEYN GOEDELE                     REF. : 439600750 VAL. 07-04</t>
  </si>
  <si>
    <t>0202525240733031202503 40015182000 0202525240733 807042501478</t>
  </si>
  <si>
    <t>165</t>
  </si>
  <si>
    <t>HAACHTSESTEENWEG       579</t>
  </si>
  <si>
    <t>164</t>
  </si>
  <si>
    <t>BE90 7360 2926 1732</t>
  </si>
  <si>
    <t>VANDERYSE-GOOSSENS</t>
  </si>
  <si>
    <t>BIESTSTRAAT          46</t>
  </si>
  <si>
    <t>3360     LOVENJOEL</t>
  </si>
  <si>
    <t>INSTANT STORTING VAN BE90 7360 2926 1732 VANDERYSE-    GOOSSENS +++002/5030/02043+++ NAAR BE05 0636 4778 9475 Vroedvrouw Goedele                                     REF. : 080G747144870 VAL. 07-04</t>
  </si>
  <si>
    <t>+++002/5030/02043+++</t>
  </si>
  <si>
    <t>163</t>
  </si>
  <si>
    <t>OVERSCHRIJVING BELFIUS MOBILE NAAR BE98 0689 5286 6793 Huis van Meraki Terugbetaling Aveve foutieve rekening  REF. : 0905410547094 VAL. 07-04</t>
  </si>
  <si>
    <t>Terugbetaling Aveve foutieve rekening</t>
  </si>
  <si>
    <t>162</t>
  </si>
  <si>
    <t>HUIS VAN MERAKI MAATSCHAP</t>
  </si>
  <si>
    <t>TERUGSTORTING VAN UW BETALING NAAR HUIS VAN MERAKI     MAATSCHAP - TERUGBETALING AVEVE REKENING BEGUNSTIGDE   BE09 7340 6292 8757 REF. : 09054440414202025           REF. : 437993361 VAL. 07-04</t>
  </si>
  <si>
    <t>161</t>
  </si>
  <si>
    <t>OVERSCHRIJVING BELFIUS MOBILE NAAR BE36 0639 8400 1781 Lemmens R-Deseyn G Maart 2025                          REF. : 0905456745719 VAL. 05-04</t>
  </si>
  <si>
    <t>Maart 2025</t>
  </si>
  <si>
    <t>160</t>
  </si>
  <si>
    <t>HERTOG JAN I-STRAAT  3    B0003</t>
  </si>
  <si>
    <t>INSTANT STORTING VAN BE92 7340 1765 5423 WEEMEEUW JUVA Juva 032025 NAAR BE05 0636 4778 9475 GOEDELE DESEYN    REF. : 080G745020631 VAL. 05-04</t>
  </si>
  <si>
    <t>Juva 032025</t>
  </si>
  <si>
    <t>00004</t>
  </si>
  <si>
    <t>159</t>
  </si>
  <si>
    <t>STORTING VAN BE47 0636 6959 5580 Geukens - Vasilachi   Andreea Vasilachi 032025                               REF. : 0905459244405 VAL. 04-04</t>
  </si>
  <si>
    <t>Andreea Vasilachi 032025</t>
  </si>
  <si>
    <t>158</t>
  </si>
  <si>
    <t>BE02 7330 3336 9040</t>
  </si>
  <si>
    <t>DE MEYER YOLAN</t>
  </si>
  <si>
    <t>BERGENSTRAAT         17</t>
  </si>
  <si>
    <t>3020     HERENT</t>
  </si>
  <si>
    <t>INSTANT STORTING VAN BE02 7330 3336 9040 DE MEYER      YOLAN Lara Craenen - 032025 NAAR BE05 0636 4778 9475   Goedele Deseyn                                         REF. : 080G744151259 VAL. 04-04</t>
  </si>
  <si>
    <t>Lara Craenen - 032025</t>
  </si>
  <si>
    <t>157</t>
  </si>
  <si>
    <t>OVERSCHRIJVING E-COMMERCE NAAR BE42 0689 0209 3054     Mamzel bv M04912074MNFBM9R Deseyn Goedele              REF. : 0905471244218 VAL. 04-04</t>
  </si>
  <si>
    <t>M04912074MNFBM9R Deseyn Goedele</t>
  </si>
  <si>
    <t>156</t>
  </si>
  <si>
    <t>155</t>
  </si>
  <si>
    <t>BE73 7360 2148 5160</t>
  </si>
  <si>
    <t>PULINCKX Y.-VAN CORTENBERG J.</t>
  </si>
  <si>
    <t>TERVUURSESTEENWEG    598</t>
  </si>
  <si>
    <t>3061     LEEFDAAL</t>
  </si>
  <si>
    <t>STORTING VIA WERO VAN BE73 7360 2148 5160 PULINCKX Y.- VAN CORTENBERG J. Wero VAN CORTENBERG JENNE REF. :     2c3e3644ccfe4c9bb924e94717cb984f NAAR                  BE05 0636 4778 9475 Goedele Deseyn                     REF. : 080G743476892 VAL. 03-04</t>
  </si>
  <si>
    <t>Wero VAN CORTENBERG JENNE</t>
  </si>
  <si>
    <t>154</t>
  </si>
  <si>
    <t>BE34 0636 4555 0290</t>
  </si>
  <si>
    <t>Lammens Lies</t>
  </si>
  <si>
    <t>KORBEEK-LOSESTRAAT      12</t>
  </si>
  <si>
    <t>STORTING VAN BE34 0636 4555 0290 Lammens Lies Lies     lammens 032025                                         REF. : 0905457542927 VAL. 02-04</t>
  </si>
  <si>
    <t>Lies lammens 032025</t>
  </si>
  <si>
    <t>153</t>
  </si>
  <si>
    <t>STORTING VIA WERO VAN BE73 7360 2148 5160 PULINCKX Y.- VAN CORTENBERG J. Wero VAN CORTENBERG JENNE REF. :     045671ddc79547c594b8b08fc62bc3c6 NAAR                  BE05 0636 4778 9475 Goedele Deseyn                     REF. : 080G742404732 VAL. 02-04</t>
  </si>
  <si>
    <t>152</t>
  </si>
  <si>
    <t>BE61 7360 6649 8517</t>
  </si>
  <si>
    <t>GEORGE ALPHONSA</t>
  </si>
  <si>
    <t>PROVINCIEBAAN 21</t>
  </si>
  <si>
    <t>INSTANT STORTING VAN BE61 7360 6649 8517 GEORGE        ALPHONSA Alphonsa George 032025 NAAR                   BE05 0636 4778 9475 Vroedvrouw Goedele                 REF. : 080G742289878 VAL. 02-04</t>
  </si>
  <si>
    <t>Alphonsa George 032025</t>
  </si>
  <si>
    <t>151</t>
  </si>
  <si>
    <t>NERVIERSSTRAAT 54</t>
  </si>
  <si>
    <t>INSTANT STORTING VAN BE68 7340 1384 4434 VANDERMEEREN  LIESBETH LiesbethVandermeeren 032025 NAAR              BE05 0636 4778 9475 VROEDVROUW GOEDELE                 REF. : 080G742257617 VAL. 02-04</t>
  </si>
  <si>
    <t>LiesbethVandermeeren 032025</t>
  </si>
  <si>
    <t>150</t>
  </si>
  <si>
    <t>BE58 0636 3195 9479</t>
  </si>
  <si>
    <t>Moeys - Demol</t>
  </si>
  <si>
    <t>BRONLAAN                48</t>
  </si>
  <si>
    <t>STORTING VAN BE58 0636 3195 9479 Moeys - Demol Karlien Demol 032025                                           REF. : 0905487842529 VAL. 02-04</t>
  </si>
  <si>
    <t>Karlien Demol 032025</t>
  </si>
  <si>
    <t>149</t>
  </si>
  <si>
    <t>BE28 0636 5247 8720</t>
  </si>
  <si>
    <t>Degel Roxanne</t>
  </si>
  <si>
    <t>DELLESTRAAT             33</t>
  </si>
  <si>
    <t>STORTING VAN BE28 0636 5247 8720 Degel Roxanne Roxanne Degel 032025                                           REF. : 0905454942543 VAL. 02-04</t>
  </si>
  <si>
    <t>Roxanne Degel 032025</t>
  </si>
  <si>
    <t>148</t>
  </si>
  <si>
    <t>VAN RODESTRAAT       42</t>
  </si>
  <si>
    <t>INSTANT STORTING VAN BE88 7330 6767 8041 LACKO P +     VANDERMEULEN A Annelies Vandermeulen 032025 NAAR       BE05 0636 4778 9475 VROEDVROUW                         REF. : 080G742159783 VAL. 02-04</t>
  </si>
  <si>
    <t>Annelies Vandermeulen 032025</t>
  </si>
  <si>
    <t>147</t>
  </si>
  <si>
    <t>LT78 3250 0911 7667 9519</t>
  </si>
  <si>
    <t>M.Bark Akerkouch</t>
  </si>
  <si>
    <t>INSTANT STORTING VAN LT78 3250 0911 7667 9519 M. Bark  Akerkouch Bounoua Sara 032025 NAAR BE05 0636 4778 9475 Goedele Deseyn                                         REF. : 080G742126856 VAL. 02-04</t>
  </si>
  <si>
    <t>REVOLT21XXX</t>
  </si>
  <si>
    <t>Bounoua Sara 032025</t>
  </si>
  <si>
    <t>146</t>
  </si>
  <si>
    <t>BE33 7340 4704 8746</t>
  </si>
  <si>
    <t>BORMANS E + VALGAERTS R</t>
  </si>
  <si>
    <t>GEESTBEEK            5</t>
  </si>
  <si>
    <t>3210     LUBBEEK</t>
  </si>
  <si>
    <t>INSTANT STORTING VAN BE33 7340 4704 8746 BORMANS E +   VALGAERTS R 032025Esther NAAR BE05 0636 4778 9475      VROEDVROUW GOEDELE                                     REF. : 080G742121269 VAL. 02-04</t>
  </si>
  <si>
    <t>032025Esther</t>
  </si>
  <si>
    <t>145</t>
  </si>
  <si>
    <t>BRASS. OUDE KANTIEN</t>
  </si>
  <si>
    <t>144</t>
  </si>
  <si>
    <t>STORTING VAN BE98 0689 5286 6793 Huis van Meraki       202504001                                              REF. : 0905463941B10 VAL. 01-04</t>
  </si>
  <si>
    <t>202504001</t>
  </si>
  <si>
    <t>143</t>
  </si>
  <si>
    <t>BANCONTACT AANKOOP - BOL. COM - 3528 BJ UTRECHT NL -   01/04/25 16:12 - VIA INTERNET - KAART 5169 20XX XXXX   5116 - Deseyn Goedele                                  REF. : 0320000000000 VAL. 01-04</t>
  </si>
  <si>
    <t>142</t>
  </si>
  <si>
    <t>Huis Van Meraki Maatschap</t>
  </si>
  <si>
    <t>OVERSCHRIJVING BELFIUS MOBILE NAAR BE09 7340 6292 8757 Huis Van Meraki Maatschap Terugbetaling Aveve          REF. : 0905444041420 VAL. 01-04</t>
  </si>
  <si>
    <t>Terugbetaling Aveve</t>
  </si>
  <si>
    <t>141</t>
  </si>
  <si>
    <t>BANCONTACT AANKOOP - BOL. COM - 3528 BJ UTRECHT NL -   26/03/25 18:39 - VIA INTERNET - KAART 5169 20XX XXXX   5116 - Deseyn Goedele                                  REF. : 0320000000000 VAL. 26-03</t>
  </si>
  <si>
    <t>140</t>
  </si>
  <si>
    <t>BANCONTACT AANKOOP - ACTION 2028 - 3220 HOLSBEEK BE -  24/03/25 16:00 - CONTACTLESS - KAART 5169 20XX XXXX    5116 - Deseyn Goedele                                  REF. : 0324279760000 VAL. 24-03</t>
  </si>
  <si>
    <t>139</t>
  </si>
  <si>
    <t>DOORLOPENDE BETALINGSOPDRACHT 15919897 NAAR            BE05 0682 4812 1175 Sweele B. V. Huur praktijk +       vergaderzaal                                           REF. : 080073L009559 VAL. 24-03</t>
  </si>
  <si>
    <t>138</t>
  </si>
  <si>
    <t>STORTING VAN BE77 2100 9098 5042 UNION NATIONALE DES   MUTUALITES LIBRES 0202525333699011202501 40015182000   0202525333699 820032504114 REF. : 5000320E118 NAAR     BE05 0636 4778 9475 DESEYN GOEDELE                     REF. : 416091004 VAL. 21-03</t>
  </si>
  <si>
    <t>0202525333699011202501 40015182000 0202525333699 820032504114</t>
  </si>
  <si>
    <t>137</t>
  </si>
  <si>
    <t>Ad Holsbeek</t>
  </si>
  <si>
    <t>3220 Holsbeek</t>
  </si>
  <si>
    <t>136</t>
  </si>
  <si>
    <t>INSTANT STORTING VAN BE09 7380 4376 9957 CHAMPANHET-   CHAMPANHET E + E Elisa 012025 NAAR BE05 0636 4778 9475 Goedele Deseyn                                         REF. : 080G73I144488 VAL. 18-03</t>
  </si>
  <si>
    <t>DEBITMASTERCARD-BETALING VIA Apple Pay 27/11 Dott bike bill 1 2 Amsterdam NL 2.50 EUR KAART NR 5169 2010 7252 5116 - Deseyn Goedele                                  REF. : 0801SBS111017 VAL. 28-11</t>
  </si>
  <si>
    <t>DEBITMASTERCARD-BETALING VIA Apple Pay 27/11 Dott bike bill 2 2 Amsterdam NL 7.78 EUR KAART NR 5169 2010 7252 5116 - Deseyn Goedele                                  REF. : 0801SBS111157 VAL. 28-11</t>
  </si>
  <si>
    <t>DEBITMASTERCARD-BETALING VIA Apple Pay 27/11 Dott bike bill 2 2 Amsterdam NL 4.58 EUR KAART NR 5169 2010 7252 5116 - Deseyn Goedele                                  REF. : 0801UBR373543 VAL. 27-11</t>
  </si>
  <si>
    <t>DEBITMASTERCARD-BETALING VIA Apple Pay 27/11 Dott bike bill 1 2 Amsterdam NL 2.50 EUR KAART NR 5169 2010 7252 5116 - Deseyn Goedele                                  REF. : 0801UBR373427 VAL. 27-11</t>
  </si>
  <si>
    <t>Kesselbergplein.6/0401</t>
  </si>
  <si>
    <t>BIJDRAGE IN DE BEHEERSKOSTEN VAN UW BEATS STAR-        REKENING WAARVAN 1.93 EUR VOOR DE BETAALSERVICE VAN DE KREDIETKAART.                                          REF. : 0801WB5683346 VAL. 01-11</t>
  </si>
  <si>
    <t>Gebroeders Tassetstraat.95</t>
  </si>
  <si>
    <t>Aarschotsesteenweg.185/0102</t>
  </si>
  <si>
    <t>STORTING VAN BE75 7995 5010 1651 LCM - ANMC            101/202510/1. 84247615                                 REF. : 0801JB3057148 VAL. 03-11</t>
  </si>
  <si>
    <t>101/202510/1.</t>
  </si>
  <si>
    <t>Dalemhof.2</t>
  </si>
  <si>
    <t>BIJDRAGE IN DE BEHEERSKOSTEN VAN UW BEATS STAR-        REKENING WAARVAN 1.93 EUR VOOR DE KREDIETKAART         BETALINGSFACILITEIT.                                   REF. : 0801WA3706793 VAL. 01-10</t>
  </si>
  <si>
    <t>STORTING VAN BE75 7995 5010 1651 LCM - ANMC            091/202509/1. 83308293                                 REF. : 0801GA2007110 VAL. 02-10</t>
  </si>
  <si>
    <t>091/202509/1.</t>
  </si>
  <si>
    <t>DEBITMASTERCARD-BETALING 23/09 campus Liza Genk BE     2.20 EUR KAART NR 5169 2010 7252 5116 - Deseyn Goedele KOERS 0.100000000                                      REF. : 0801U9O049482 VAL. 24-09</t>
  </si>
  <si>
    <t>BIJDRAGE IN DE BEHEERSKOSTEN VAN UW BEATS STAR-        REKENING WAARVAN 1.93 EUR VOOR DE KREDIETKAART         BETALINGSFACILITEIT.                                   REF. : 0801W93674206 VAL. 01-09</t>
  </si>
  <si>
    <t>UW EUROPESE DOMICILIERING 9002113304-002 VOOR BELFIUS  VERZEKERINGEN MEDEDELING: Kenmerk:                     +++900/2113/30477+++ Omschrijving: Belfius Belfius     Motorbike. Polisnr. : 9002113304. Periode: 28-08-2025  - 27-08-2026 SCHULDEISERSREFERTE: 23655804             REF. : 0819693046947 VAL. 03-09</t>
  </si>
  <si>
    <t>STORTING VAN BE75 7995 5010 1651 LCM - ANMC            081/202508/1. 82527951                                 REF. : 0801H92004458 VAL. 02-09</t>
  </si>
  <si>
    <t>081/202508/1.</t>
  </si>
  <si>
    <t>Vroedvrouwenloket. Guichet</t>
  </si>
  <si>
    <t>OVERSCHRIJVING E-COMMERCE NAAR BE42 0689 0209 3054     Vroedvrouwenloket. Guichet M08695721MOP2P0N Order 4374 REF. : 090545398Q085 VAL. 26-08</t>
  </si>
  <si>
    <t>DEBITMASTERCARD-BETALING 09/08 ALPINE WORLD DI LONGO   AOSTA IT 120.00 EUR KAART NR 5169 2010 7252 5116 -     Deseyn Goedele                                         REF. : 0801S8C007608 VAL. 12-08</t>
  </si>
  <si>
    <t>BIJDRAGE IN DE BEHEERSKOSTEN VAN UW BEATS STAR-        REKENING WAARVAN 1.93 EUR VOOR DE KREDIETKAART         BETALINGSFACILITEIT.                                   REF. : 0801W85696686 VAL. 01-08</t>
  </si>
  <si>
    <t>DEBITMASTERCARD-BETALING 29/07 Hema Valkenburg         VALKENBURG LB NL 6.99 EUR KAART NR 5169 2010 7252 5116 - Deseyn Goedele                                       REF. : 0801S7U163047 VAL. 30-07</t>
  </si>
  <si>
    <t>STORTING VAN BE75 7995 5010 1651 LCM - ANMC            071/202507/1. 81593802                                 REF. : 0801H7T082438 VAL. 29-07</t>
  </si>
  <si>
    <t>071/202507/1.</t>
  </si>
  <si>
    <t>DEBITMASTERCARD-BETALING VIA Apple Pay 23/07 Mol*RESET 32474653997 BE 99.00 EUR KAART NR 5169 2010 7252 5116  - Deseyn Goedele                                       REF. : 0801S7O245607 VAL. 24-07</t>
  </si>
  <si>
    <t>BIJDRAGE IN DE BEHEERSKOSTEN VAN UW BEATS STAR-        REKENING WAARVAN 1.93 EUR VOOR DE KREDIETKAART         BETALINGSFACILITEIT.                                   REF. : 0801W73682439 VAL. 01-07</t>
  </si>
  <si>
    <t>STORTING VAN BE75 7995 5010 1651 LCM - ANMC            061/202506/1. 80890441                                 REF. : 0801H73020755 VAL. 03-07</t>
  </si>
  <si>
    <t>061/202506/1.</t>
  </si>
  <si>
    <t>DEBITMASTERCARD-BETALING VIA Apple Pay 24/06 Alpine    Nederland B. V. Utrecht NL 16.00 EUR KAART NR 5169     2010 7252 5116 - Deseyn Goedele                        REF. : 0801S6P120029 VAL. 25-06</t>
  </si>
  <si>
    <t>OVERSCHRIJVING VIA Klarna Bank AB NAAR                 BE20 8260 0054 7156 Klarna Bank AB (publ)              XA4WLSMX8ZTGIAN5HBEALPJ1XB. nl. bgastore. be 5f9f7012- b05a-45d6-8e4f-43f4eeef752                             REF. : 0905660768003 VAL. 09-06</t>
  </si>
  <si>
    <t>XA4WLSMX8ZTGIAN5HBEALPJ1XB. nl.bgastore.be</t>
  </si>
  <si>
    <t>BIJDRAGE IN DE BEHEERSKOSTEN VAN UW BEATS STAR-        REKENING WAARVAN 1.93 EUR VOOR DE KREDIETKAART         BETALINGSFACILITEIT.                                   REF. : 0801W64648982 VAL. 01-06</t>
  </si>
  <si>
    <t>STORTING VAN BE75 7995 5010 1651 LCM - ANMC            051/202505/1. 79968315                                 REF. : 0801G62025564 VAL. 02-06</t>
  </si>
  <si>
    <t>051/202505/1.</t>
  </si>
  <si>
    <t>Merellaan(LIN).27</t>
  </si>
  <si>
    <t>BIJDRAGE IN DE BEHEERSKOSTEN VAN UW BEATS STAR-        REKENING WAARVAN 1.93 EUR VOOR DE KREDIETKAART         BETALINGSFACILITEIT.                                   REF. : 0801W56633513 VAL. 01-05</t>
  </si>
  <si>
    <t>STORTING VAN BE75 7995 5010 1651 LANDSBOND DER         CHRISTELIJKE 041/202504/1. 79157423                    REF. : 0801G56015406 VAL. 06-05</t>
  </si>
  <si>
    <t>041/202504/1.</t>
  </si>
  <si>
    <t>DEBITMASTERCARD-BETALING 19/04 Esso Station Lauenau 3  Lauenau DE 10.22 EUR KAART NR 5169 2010 7252 5116 -    Deseyn Goedele                                         REF. : 0801S4MH64859 VAL. 22-04</t>
  </si>
  <si>
    <t>STORTING VAN BE75 7995 5010 1651 LCM VP - ANMC AO      031/202503/1. 78266635                                 REF. : 0801H47036678 VAL. 07-04</t>
  </si>
  <si>
    <t>031/202503/1.</t>
  </si>
  <si>
    <t>BIJDRAGE IN DE BEHEERSKOSTEN VAN UW BEATS STAR-        REKENING WAARVAN 1.93 EUR VOOR DE KREDIETKAART         BETALINGSFACILITEIT.                                   REF. : 0801W43592182 VAL. 01-04</t>
  </si>
  <si>
    <t>Kessel-lo . Diestsesteenweg 50/0001</t>
  </si>
  <si>
    <t>Leuven. Flemisg Brabant. 3010</t>
  </si>
  <si>
    <t>DEBITMASTERCARD-BETALING 01/04 BRASS. OUDE KANTIEN     HEVERLEE BE 68.20 EUR KAART NR 5169 2010 7252 5116 -   Deseyn Goedele                                         REF. : 0801S42083113 VAL. 02-04</t>
  </si>
  <si>
    <t>DEBITMASTERCARD-BETALING VIA Apple Pay 17/03 Ad        Holsbeek Holsbeek BE 29.00 EUR KAART NR 5169 2010 7252 5116 - Deseyn Goedele                                  REF. : 0801T3I207337 VAL. 18-03</t>
  </si>
  <si>
    <t>Mastercard</t>
  </si>
  <si>
    <t>Sponsoring</t>
  </si>
  <si>
    <t>1</t>
  </si>
  <si>
    <t>Row Labels</t>
  </si>
  <si>
    <t>Sum of Bedrag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</si>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</sst>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72" formatCode="[$€]#,##0.00"/>
    <numFmt numFmtId="174" formatCode="d/mm/yyyy;@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4" fillId="0" borderId="0" xfId="0" applyFont="1"/>
    <xf numFmtId="0" fontId="2" fillId="2" borderId="0" xfId="0" applyFont="1" applyFill="1"/>
    <xf numFmtId="0" fontId="5" fillId="2" borderId="0" xfId="0" applyFont="1" applyFill="1"/>
    <xf numFmtId="172" fontId="5" fillId="2" borderId="0" xfId="0" applyNumberFormat="1" applyFont="1" applyFill="1"/>
    <xf numFmtId="172" fontId="2" fillId="0" borderId="0" xfId="0" applyNumberFormat="1" applyFont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6" xfId="0" applyNumberFormat="1" applyBorder="1"/>
    <xf numFmtId="0" fontId="0" fillId="0" borderId="0" xfId="0" applyNumberFormat="1"/>
    <xf numFmtId="0" fontId="0" fillId="0" borderId="7" xfId="0" applyNumberFormat="1" applyBorder="1"/>
    <xf numFmtId="0" fontId="0" fillId="0" borderId="8" xfId="0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49" fontId="0" fillId="0" borderId="0" xfId="0" applyNumberFormat="1"/>
    <xf numFmtId="14" fontId="0" fillId="0" borderId="0" xfId="0" applyNumberFormat="1"/>
    <xf numFmtId="49" fontId="3" fillId="0" borderId="0" xfId="0" applyNumberFormat="1" applyFont="1"/>
    <xf numFmtId="17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19" formatCode="m/d/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74" formatCode="d/mm/yyyy;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By="Rein Lemmens" refreshedDate="45996.555878472223" refreshedVersion="8" recordCount="464" xr:uid="{00000000-000A-0000-FFFF-FFFF00000000}">
  <cacheSource type="worksheet">
    <worksheetSource ref="A1:AA465" sheet="Verrichtingen 2024"/>
  </cacheSource>
  <cacheFields count="27">
    <cacheField name="Categorie" numFmtId="0">
      <sharedItems containsBlank="1" count="21">
        <s v="Omzet"/>
        <s v="Kosten opleiding en vorming"/>
        <s v="Klein materiaal"/>
        <s v="Bankkosten"/>
        <s v="Loon"/>
        <s v="Restaurant"/>
        <s v="Interne storting"/>
        <s v="Verzekering beroepsaansprakelijkheid"/>
        <s v="Sociale bijdragen"/>
        <s v="Vrij Aanvullend Pensioen Zelfstandigen"/>
        <s v="Huur onroerend goed"/>
        <s v="Relatiegeschenken"/>
        <s v="Verkeerde rekening"/>
        <s v="Drukwerk en publiciteit"/>
        <s v="Vervoer"/>
        <s v="Medisch materiaal"/>
        <s v="Licenties software"/>
        <s v="Boeken en tijdschriften"/>
        <s v="Onthaal"/>
        <s v="Bureelbenodigdheden"/>
        <m/>
      </sharedItems>
    </cacheField>
    <cacheField name="Therapeutisch?" numFmtId="0">
      <sharedItems containsString="0" containsBlank="1" containsNumber="1" containsInteger="1" minValue="1" maxValue="1" count="2">
        <m/>
        <n v="1"/>
      </sharedItems>
    </cacheField>
    <cacheField name="Boekingsdatum" numFmtId="0">
      <sharedItems containsNonDate="0" containsDate="1" containsString="0" containsBlank="1" minDate="2024-01-02T00:00:00" maxDate="2025-01-01T00:00:00"/>
    </cacheField>
    <cacheField name="Rekeningnummer" numFmtId="0">
      <sharedItems containsBlank="1"/>
    </cacheField>
    <cacheField name="Naam " numFmtId="0">
      <sharedItems containsBlank="1"/>
    </cacheField>
    <cacheField name="Bedrag" numFmtId="0">
      <sharedItems containsString="0" containsBlank="1" containsNumber="1" minValue="-4500" maxValue="3059.57"/>
    </cacheField>
    <cacheField name="Mededelingen" numFmtId="0">
      <sharedItems containsDate="1" containsBlank="1" containsMixedTypes="1" minDate="2023-12-01T00:00:00" maxDate="2024-12-02T00:00:00"/>
    </cacheField>
    <cacheField name="Ther" numFmtId="4">
      <sharedItems containsNonDate="0" containsString="0" containsBlank="1"/>
    </cacheField>
    <cacheField name="Niet-Ther" numFmtId="4">
      <sharedItems containsNonDate="0" containsString="0" containsBlank="1"/>
    </cacheField>
    <cacheField name="Factuur in Map" numFmtId="0">
      <sharedItems containsNonDate="0" containsString="0" containsBlank="1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  <cacheField name=" 16" numFmtId="0">
      <sharedItems containsNonDate="0" containsString="0" containsBlank="1"/>
    </cacheField>
    <cacheField name=" 17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Rein Lemmens" refreshedDate="45996.582275810186" createdVersion="8" refreshedVersion="8" minRefreshableVersion="3" recordCount="341" xr:uid="{E27AE131-19D3-FF4E-B0DC-B597C0362337}">
  <cacheSource type="worksheet">
    <worksheetSource name="Table1"/>
  </cacheSource>
  <cacheFields count="17">
    <cacheField name="Rekening" numFmtId="49">
      <sharedItems/>
    </cacheField>
    <cacheField name="Categorie" numFmtId="49">
      <sharedItems count="19">
        <s v="Kosten opleiding en vorming"/>
        <s v="Loon"/>
        <s v="Omzet"/>
        <s v="Verkeerde rekening"/>
        <s v="Huur onroerend goed"/>
        <s v="Klein materiaal"/>
        <s v="Boeken en tijdschriften"/>
        <s v="Bankkosten"/>
        <s v="Mastercard"/>
        <s v="Sociale bijdragen"/>
        <s v="Medisch materiaal"/>
        <s v="Sponsoring"/>
        <s v="Vervoer"/>
        <s v="Restaurant"/>
        <s v="Vrij Aanvullend Pensioen Zelfstandigen"/>
        <s v="Onthaal"/>
        <s v="Licenties software"/>
        <s v="Bureelbenodigdheden"/>
        <s v="Relatiegeschenken"/>
      </sharedItems>
    </cacheField>
    <cacheField name="Therapeutisch?" numFmtId="49">
      <sharedItems containsBlank="1" count="2">
        <m/>
        <s v="1"/>
      </sharedItems>
    </cacheField>
    <cacheField name="Boekingsdatum" numFmtId="174">
      <sharedItems containsSemiMixedTypes="0" containsNonDate="0" containsDate="1" containsString="0" minDate="2025-03-18T00:00:00" maxDate="2025-11-29T00:00:00"/>
    </cacheField>
    <cacheField name="Rekeninguittrekselnummer" numFmtId="49">
      <sharedItems/>
    </cacheField>
    <cacheField name="Transactienummer" numFmtId="49">
      <sharedItems/>
    </cacheField>
    <cacheField name="Rekening tegenpartij" numFmtId="0">
      <sharedItems containsBlank="1"/>
    </cacheField>
    <cacheField name="Naam tegenpartij bevat" numFmtId="0">
      <sharedItems containsBlank="1"/>
    </cacheField>
    <cacheField name="Straat en nummer" numFmtId="0">
      <sharedItems containsBlank="1"/>
    </cacheField>
    <cacheField name="Postcode en plaats" numFmtId="0">
      <sharedItems containsBlank="1"/>
    </cacheField>
    <cacheField name="Transactie" numFmtId="49">
      <sharedItems longText="1"/>
    </cacheField>
    <cacheField name="Valutadatum" numFmtId="14">
      <sharedItems containsSemiMixedTypes="0" containsNonDate="0" containsDate="1" containsString="0" minDate="2025-03-18T00:00:00" maxDate="2025-11-29T00:00:00"/>
    </cacheField>
    <cacheField name="Bedrag" numFmtId="2">
      <sharedItems containsSemiMixedTypes="0" containsString="0" containsNumber="1" minValue="-3831.12" maxValue="4414.1499999999996"/>
    </cacheField>
    <cacheField name="Devies" numFmtId="49">
      <sharedItems/>
    </cacheField>
    <cacheField name="BIC" numFmtId="0">
      <sharedItems containsBlank="1"/>
    </cacheField>
    <cacheField name="Landcode" numFmtId="0">
      <sharedItems containsBlank="1"/>
    </cacheField>
    <cacheField name="Mededelingen" numFmtId="49">
      <sharedItems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EF89C-AA58-1147-8BE3-4510360EE390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4" firstHeaderRow="1" firstDataRow="2" firstDataCol="1"/>
  <pivotFields count="17">
    <pivotField showAll="0"/>
    <pivotField axis="axisRow" showAll="0">
      <items count="20">
        <item x="7"/>
        <item x="6"/>
        <item x="17"/>
        <item x="4"/>
        <item x="5"/>
        <item x="0"/>
        <item x="16"/>
        <item x="1"/>
        <item x="8"/>
        <item x="10"/>
        <item x="2"/>
        <item x="15"/>
        <item x="18"/>
        <item x="13"/>
        <item x="9"/>
        <item x="11"/>
        <item x="3"/>
        <item x="12"/>
        <item x="14"/>
        <item t="default"/>
      </items>
    </pivotField>
    <pivotField axis="axisCol" showAll="0">
      <items count="3">
        <item x="1"/>
        <item x="0"/>
        <item t="default"/>
      </items>
    </pivotField>
    <pivotField numFmtId="17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numFmtId="2" showAll="0"/>
    <pivotField showAll="0"/>
    <pivotField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Bedrag" fld="12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sultaat" cacheId="5" applyNumberFormats="0" applyBorderFormats="0" applyFontFormats="0" applyPatternFormats="0" applyAlignmentFormats="0" applyWidthHeightFormats="0" dataCaption="" updatedVersion="8" compact="0" compactData="0">
  <location ref="A1:D24" firstHeaderRow="1" firstDataRow="2" firstDataCol="1"/>
  <pivotFields count="27">
    <pivotField name="Categorie" axis="axisRow" compact="0" outline="0" multipleItemSelectionAllowed="1" showAll="0" sortType="ascending">
      <items count="22">
        <item x="3"/>
        <item x="17"/>
        <item x="19"/>
        <item x="13"/>
        <item x="10"/>
        <item x="6"/>
        <item x="2"/>
        <item x="1"/>
        <item x="16"/>
        <item x="4"/>
        <item x="15"/>
        <item x="0"/>
        <item x="18"/>
        <item x="11"/>
        <item x="5"/>
        <item x="8"/>
        <item x="12"/>
        <item x="14"/>
        <item x="7"/>
        <item x="9"/>
        <item x="20"/>
        <item t="default"/>
      </items>
    </pivotField>
    <pivotField name="Therapeutisch?" axis="axisCol" compact="0" outline="0" multipleItemSelectionAllowed="1" showAll="0" sortType="ascending">
      <items count="3">
        <item x="1"/>
        <item x="0"/>
        <item t="default"/>
      </items>
    </pivotField>
    <pivotField name="Boekingsdatum" compact="0" numFmtId="164" outline="0" multipleItemSelectionAllowed="1" showAll="0"/>
    <pivotField name="Rekeningnummer" compact="0" outline="0" multipleItemSelectionAllowed="1" showAll="0"/>
    <pivotField name="Naam " compact="0" numFmtId="4" outline="0" multipleItemSelectionAllowed="1" showAll="0"/>
    <pivotField name="Bedrag" dataField="1" compact="0" outline="0" multipleItemSelectionAllowed="1" showAll="0"/>
    <pivotField name="Mededelingen" compact="0" outline="0" multipleItemSelectionAllowed="1" showAll="0"/>
    <pivotField name="Ther" compact="0" outline="0" multipleItemSelectionAllowed="1" showAll="0"/>
    <pivotField name="Niet-Ther" compact="0" outline="0" multipleItemSelectionAllowed="1" showAll="0"/>
    <pivotField name="Factuur in Map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  <pivotField name=" 16" compact="0" outline="0" multipleItemSelectionAllowed="1" showAll="0"/>
    <pivotField name=" 17" compact="0" outline="0" multipleItemSelectionAllowed="1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Bedrag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8A7BC-9F52-4342-89D2-71D758AB109B}" name="Table1" displayName="Table1" ref="A1:Q342" totalsRowShown="0" headerRowDxfId="2">
  <autoFilter ref="A1:Q342" xr:uid="{E708A7BC-9F52-4342-89D2-71D758AB109B}"/>
  <sortState xmlns:xlrd2="http://schemas.microsoft.com/office/spreadsheetml/2017/richdata2" ref="A2:Q342">
    <sortCondition ref="D1:D342"/>
  </sortState>
  <tableColumns count="17">
    <tableColumn id="1" xr3:uid="{85F678DE-34F5-BC4D-A11C-1160AB02DA05}" name="Rekening" dataDxfId="17"/>
    <tableColumn id="16" xr3:uid="{2079A4C1-CBB6-144B-996C-1305C9666F65}" name="Categorie" dataDxfId="1"/>
    <tableColumn id="17" xr3:uid="{A560C03C-2E06-A34C-97C8-931E5B073CF0}" name="Therapeutisch?" dataDxfId="0"/>
    <tableColumn id="2" xr3:uid="{104B4B09-7FFC-9B4D-8693-C3D955EE33AD}" name="Boekingsdatum" dataDxfId="16"/>
    <tableColumn id="3" xr3:uid="{9D5CBD3A-0395-7745-B33E-4CA7A976B8A4}" name="Rekeninguittrekselnummer" dataDxfId="15"/>
    <tableColumn id="4" xr3:uid="{555CEF4C-F1F9-7443-A928-FA1D4AC781B1}" name="Transactienummer" dataDxfId="14"/>
    <tableColumn id="5" xr3:uid="{E661DBC6-6C01-DD4C-B02B-FDFF9DCA1F9B}" name="Rekening tegenpartij" dataDxfId="13"/>
    <tableColumn id="6" xr3:uid="{61D9F207-103F-8F4F-9399-99515CCC54AB}" name="Naam tegenpartij bevat" dataDxfId="12"/>
    <tableColumn id="7" xr3:uid="{537734F6-6A30-B94E-BECD-F8668C13921F}" name="Straat en nummer" dataDxfId="11"/>
    <tableColumn id="8" xr3:uid="{D5962ECD-61C6-824F-85ED-EFBA3026D921}" name="Postcode en plaats" dataDxfId="10"/>
    <tableColumn id="9" xr3:uid="{50E9390F-2E2F-4343-82AE-4F4964BE19D5}" name="Transactie" dataDxfId="9"/>
    <tableColumn id="10" xr3:uid="{AC90B3DD-6891-2C49-9167-F241BEB0073C}" name="Valutadatum" dataDxfId="8"/>
    <tableColumn id="11" xr3:uid="{0C995E97-72C8-B94A-88A8-E4EDFAD2CD77}" name="Bedrag" dataDxfId="7"/>
    <tableColumn id="12" xr3:uid="{4326F71D-017A-C447-B89C-526A100B3A6A}" name="Devies" dataDxfId="6"/>
    <tableColumn id="13" xr3:uid="{18F7FA5D-6A39-4B4F-B5ED-03093523949F}" name="BIC" dataDxfId="5"/>
    <tableColumn id="14" xr3:uid="{FE791FCC-2C88-A54C-B465-A3C031D2C1C3}" name="Landcode" dataDxfId="4"/>
    <tableColumn id="15" xr3:uid="{B0E9185D-38E7-DB47-9D22-F1D19674302A}" name="Mededelinge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48273-0C3A-504E-A488-38114FF40ED6}">
  <dimension ref="A3:K24"/>
  <sheetViews>
    <sheetView workbookViewId="0">
      <selection activeCell="K15" sqref="K15"/>
    </sheetView>
  </sheetViews>
  <sheetFormatPr baseColWidth="10" defaultRowHeight="15" x14ac:dyDescent="0.2"/>
  <cols>
    <col min="1" max="1" width="30.6640625" bestFit="1" customWidth="1"/>
    <col min="2" max="2" width="14.83203125" bestFit="1" customWidth="1"/>
    <col min="3" max="3" width="9.1640625" bestFit="1" customWidth="1"/>
    <col min="4" max="4" width="10" bestFit="1" customWidth="1"/>
  </cols>
  <sheetData>
    <row r="3" spans="1:11" x14ac:dyDescent="0.2">
      <c r="A3" s="32" t="s">
        <v>1595</v>
      </c>
      <c r="B3" s="32" t="s">
        <v>1596</v>
      </c>
    </row>
    <row r="4" spans="1:11" x14ac:dyDescent="0.2">
      <c r="A4" s="32" t="s">
        <v>1594</v>
      </c>
      <c r="B4" t="s">
        <v>1593</v>
      </c>
      <c r="C4" t="s">
        <v>90</v>
      </c>
      <c r="D4" t="s">
        <v>91</v>
      </c>
    </row>
    <row r="5" spans="1:11" x14ac:dyDescent="0.2">
      <c r="A5" s="33" t="s">
        <v>12</v>
      </c>
      <c r="B5" s="31"/>
      <c r="C5" s="31">
        <v>-60</v>
      </c>
      <c r="D5" s="31">
        <v>-60</v>
      </c>
    </row>
    <row r="6" spans="1:11" x14ac:dyDescent="0.2">
      <c r="A6" s="33" t="s">
        <v>52</v>
      </c>
      <c r="B6" s="31"/>
      <c r="C6" s="31">
        <v>-357.38</v>
      </c>
      <c r="D6" s="31">
        <v>-357.38</v>
      </c>
    </row>
    <row r="7" spans="1:11" x14ac:dyDescent="0.2">
      <c r="A7" s="33" t="s">
        <v>56</v>
      </c>
      <c r="B7" s="31"/>
      <c r="C7" s="31">
        <v>-110.72999999999999</v>
      </c>
      <c r="D7" s="31">
        <v>-110.72999999999999</v>
      </c>
    </row>
    <row r="8" spans="1:11" x14ac:dyDescent="0.2">
      <c r="A8" s="33" t="s">
        <v>28</v>
      </c>
      <c r="B8" s="31"/>
      <c r="C8" s="31">
        <v>-4500</v>
      </c>
      <c r="D8" s="31">
        <v>-4500</v>
      </c>
    </row>
    <row r="9" spans="1:11" x14ac:dyDescent="0.2">
      <c r="A9" s="33" t="s">
        <v>8</v>
      </c>
      <c r="B9" s="31"/>
      <c r="C9" s="31">
        <v>-918.58000000000015</v>
      </c>
      <c r="D9" s="31">
        <v>-918.58000000000015</v>
      </c>
    </row>
    <row r="10" spans="1:11" x14ac:dyDescent="0.2">
      <c r="A10" s="33" t="s">
        <v>6</v>
      </c>
      <c r="B10" s="31"/>
      <c r="C10" s="31">
        <v>-5162.68</v>
      </c>
      <c r="D10" s="31">
        <v>-5162.68</v>
      </c>
    </row>
    <row r="11" spans="1:11" x14ac:dyDescent="0.2">
      <c r="A11" s="33" t="s">
        <v>45</v>
      </c>
      <c r="B11" s="31"/>
      <c r="C11" s="31">
        <v>-905.16000000000008</v>
      </c>
      <c r="D11" s="31">
        <v>-905.16000000000008</v>
      </c>
    </row>
    <row r="12" spans="1:11" x14ac:dyDescent="0.2">
      <c r="A12" s="33" t="s">
        <v>13</v>
      </c>
      <c r="B12" s="31"/>
      <c r="C12" s="31">
        <v>-21200</v>
      </c>
      <c r="D12" s="31">
        <v>-21200</v>
      </c>
    </row>
    <row r="13" spans="1:11" x14ac:dyDescent="0.2">
      <c r="A13" s="33" t="s">
        <v>1591</v>
      </c>
      <c r="B13" s="31"/>
      <c r="C13" s="31">
        <v>-1073.4399999999998</v>
      </c>
      <c r="D13" s="31">
        <v>-1073.4399999999998</v>
      </c>
    </row>
    <row r="14" spans="1:11" x14ac:dyDescent="0.2">
      <c r="A14" s="33" t="s">
        <v>41</v>
      </c>
      <c r="B14" s="31"/>
      <c r="C14" s="31">
        <v>-245.62</v>
      </c>
      <c r="D14" s="31">
        <v>-245.62</v>
      </c>
    </row>
    <row r="15" spans="1:11" x14ac:dyDescent="0.2">
      <c r="A15" s="33" t="s">
        <v>5</v>
      </c>
      <c r="B15" s="31">
        <v>45560.820000000014</v>
      </c>
      <c r="C15" s="31">
        <v>7716.05</v>
      </c>
      <c r="D15" s="31">
        <v>53276.870000000017</v>
      </c>
      <c r="K15">
        <f>GETPIVOTDATA("Bedrag",$A$3,"Categorie","Omzet")/11*12</f>
        <v>58120.221818181839</v>
      </c>
    </row>
    <row r="16" spans="1:11" x14ac:dyDescent="0.2">
      <c r="A16" s="33" t="s">
        <v>54</v>
      </c>
      <c r="B16" s="31"/>
      <c r="C16" s="31">
        <v>-36.6</v>
      </c>
      <c r="D16" s="31">
        <v>-36.6</v>
      </c>
    </row>
    <row r="17" spans="1:4" x14ac:dyDescent="0.2">
      <c r="A17" s="33" t="s">
        <v>31</v>
      </c>
      <c r="B17" s="31"/>
      <c r="C17" s="31">
        <v>-41.5</v>
      </c>
      <c r="D17" s="31">
        <v>-41.5</v>
      </c>
    </row>
    <row r="18" spans="1:4" x14ac:dyDescent="0.2">
      <c r="A18" s="33" t="s">
        <v>17</v>
      </c>
      <c r="B18" s="31"/>
      <c r="C18" s="31">
        <v>-147.22</v>
      </c>
      <c r="D18" s="31">
        <v>-147.22</v>
      </c>
    </row>
    <row r="19" spans="1:4" x14ac:dyDescent="0.2">
      <c r="A19" s="33" t="s">
        <v>22</v>
      </c>
      <c r="B19" s="31"/>
      <c r="C19" s="31">
        <v>-9092.630000000001</v>
      </c>
      <c r="D19" s="31">
        <v>-9092.630000000001</v>
      </c>
    </row>
    <row r="20" spans="1:4" x14ac:dyDescent="0.2">
      <c r="A20" s="33" t="s">
        <v>1592</v>
      </c>
      <c r="B20" s="31"/>
      <c r="C20" s="31">
        <v>-1200</v>
      </c>
      <c r="D20" s="31">
        <v>-1200</v>
      </c>
    </row>
    <row r="21" spans="1:4" x14ac:dyDescent="0.2">
      <c r="A21" s="33" t="s">
        <v>32</v>
      </c>
      <c r="B21" s="31"/>
      <c r="C21" s="31">
        <v>595.5100000000001</v>
      </c>
      <c r="D21" s="31">
        <v>595.5100000000001</v>
      </c>
    </row>
    <row r="22" spans="1:4" x14ac:dyDescent="0.2">
      <c r="A22" s="33" t="s">
        <v>37</v>
      </c>
      <c r="B22" s="31"/>
      <c r="C22" s="31">
        <v>-753</v>
      </c>
      <c r="D22" s="31">
        <v>-753</v>
      </c>
    </row>
    <row r="23" spans="1:4" x14ac:dyDescent="0.2">
      <c r="A23" s="33" t="s">
        <v>25</v>
      </c>
      <c r="B23" s="31"/>
      <c r="C23" s="31">
        <v>-2712.09</v>
      </c>
      <c r="D23" s="31">
        <v>-2712.09</v>
      </c>
    </row>
    <row r="24" spans="1:4" x14ac:dyDescent="0.2">
      <c r="A24" s="33" t="s">
        <v>91</v>
      </c>
      <c r="B24" s="31">
        <v>45560.820000000014</v>
      </c>
      <c r="C24" s="31">
        <v>-40205.070000000007</v>
      </c>
      <c r="D24" s="31">
        <v>5355.7500000000127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B790-8764-CD4C-B307-09F77195B04B}">
  <dimension ref="A1:Q342"/>
  <sheetViews>
    <sheetView topLeftCell="B1" zoomScale="130" zoomScaleNormal="130" workbookViewId="0">
      <selection activeCell="D2" sqref="D2"/>
    </sheetView>
  </sheetViews>
  <sheetFormatPr baseColWidth="10" defaultRowHeight="15" x14ac:dyDescent="0.2"/>
  <cols>
    <col min="1" max="1" width="18.1640625" hidden="1" customWidth="1"/>
    <col min="2" max="2" width="28.5" customWidth="1"/>
    <col min="3" max="3" width="18.1640625" customWidth="1"/>
    <col min="4" max="4" width="15.33203125" style="30" customWidth="1"/>
    <col min="5" max="5" width="10" customWidth="1"/>
    <col min="6" max="6" width="18" customWidth="1"/>
    <col min="7" max="7" width="25.1640625" bestFit="1" customWidth="1"/>
    <col min="8" max="8" width="26.5" customWidth="1"/>
    <col min="9" max="9" width="34.5" hidden="1" customWidth="1"/>
    <col min="10" max="10" width="25.5" hidden="1" customWidth="1"/>
    <col min="11" max="11" width="25.83203125" customWidth="1"/>
    <col min="12" max="12" width="13.5" customWidth="1"/>
    <col min="13" max="13" width="13.33203125" style="31" customWidth="1"/>
    <col min="14" max="14" width="8.6640625" customWidth="1"/>
    <col min="15" max="15" width="11.83203125" bestFit="1" customWidth="1"/>
    <col min="16" max="16" width="11" customWidth="1"/>
    <col min="17" max="17" width="80.6640625" bestFit="1" customWidth="1"/>
  </cols>
  <sheetData>
    <row r="1" spans="1:17" x14ac:dyDescent="0.2">
      <c r="A1" s="27" t="s">
        <v>92</v>
      </c>
      <c r="B1" s="29" t="s">
        <v>0</v>
      </c>
      <c r="C1" s="29" t="s">
        <v>1</v>
      </c>
      <c r="D1" s="30" t="s">
        <v>2</v>
      </c>
      <c r="E1" s="27" t="s">
        <v>93</v>
      </c>
      <c r="F1" s="27" t="s">
        <v>94</v>
      </c>
      <c r="G1" s="27" t="s">
        <v>95</v>
      </c>
      <c r="H1" s="27" t="s">
        <v>96</v>
      </c>
      <c r="I1" s="27" t="s">
        <v>97</v>
      </c>
      <c r="J1" s="27" t="s">
        <v>98</v>
      </c>
      <c r="K1" s="27" t="s">
        <v>99</v>
      </c>
      <c r="L1" t="s">
        <v>100</v>
      </c>
      <c r="M1" s="31" t="s">
        <v>3</v>
      </c>
      <c r="N1" s="27" t="s">
        <v>101</v>
      </c>
      <c r="O1" s="27" t="s">
        <v>102</v>
      </c>
      <c r="P1" s="27" t="s">
        <v>103</v>
      </c>
      <c r="Q1" s="27" t="s">
        <v>4</v>
      </c>
    </row>
    <row r="2" spans="1:17" x14ac:dyDescent="0.2">
      <c r="A2" s="27" t="s">
        <v>104</v>
      </c>
      <c r="B2" s="27" t="s">
        <v>5</v>
      </c>
      <c r="C2" s="29" t="s">
        <v>1593</v>
      </c>
      <c r="D2" s="30">
        <v>45734</v>
      </c>
      <c r="E2" s="27" t="s">
        <v>1449</v>
      </c>
      <c r="F2" s="27" t="s">
        <v>1541</v>
      </c>
      <c r="G2" s="27" t="s">
        <v>1045</v>
      </c>
      <c r="H2" s="27" t="s">
        <v>1046</v>
      </c>
      <c r="I2" s="27" t="s">
        <v>1410</v>
      </c>
      <c r="J2" s="27" t="s">
        <v>1411</v>
      </c>
      <c r="K2" s="27" t="s">
        <v>1542</v>
      </c>
      <c r="L2" s="28">
        <v>45734</v>
      </c>
      <c r="M2" s="31">
        <v>53.55</v>
      </c>
      <c r="N2" s="27" t="s">
        <v>109</v>
      </c>
      <c r="O2" s="27" t="s">
        <v>244</v>
      </c>
      <c r="P2" s="27" t="s">
        <v>117</v>
      </c>
      <c r="Q2" s="27" t="s">
        <v>1048</v>
      </c>
    </row>
    <row r="3" spans="1:17" x14ac:dyDescent="0.2">
      <c r="A3" s="27" t="s">
        <v>104</v>
      </c>
      <c r="B3" s="27" t="s">
        <v>54</v>
      </c>
      <c r="C3" s="27"/>
      <c r="D3" s="30">
        <v>45734</v>
      </c>
      <c r="E3" s="27" t="s">
        <v>1449</v>
      </c>
      <c r="F3" s="27" t="s">
        <v>1538</v>
      </c>
      <c r="H3" s="27" t="s">
        <v>1539</v>
      </c>
      <c r="J3" s="27" t="s">
        <v>1540</v>
      </c>
      <c r="K3" s="27" t="s">
        <v>1590</v>
      </c>
      <c r="L3" s="28">
        <v>45734</v>
      </c>
      <c r="M3" s="31">
        <v>-29</v>
      </c>
      <c r="N3" s="27" t="s">
        <v>109</v>
      </c>
      <c r="P3" s="27" t="s">
        <v>117</v>
      </c>
      <c r="Q3" s="27" t="s">
        <v>1590</v>
      </c>
    </row>
    <row r="4" spans="1:17" x14ac:dyDescent="0.2">
      <c r="A4" s="27" t="s">
        <v>104</v>
      </c>
      <c r="B4" s="27" t="s">
        <v>5</v>
      </c>
      <c r="C4" s="29" t="s">
        <v>1593</v>
      </c>
      <c r="D4" s="30">
        <v>45737</v>
      </c>
      <c r="E4" s="27" t="s">
        <v>1449</v>
      </c>
      <c r="F4" s="27" t="s">
        <v>1535</v>
      </c>
      <c r="G4" s="27" t="s">
        <v>19</v>
      </c>
      <c r="H4" s="27" t="s">
        <v>75</v>
      </c>
      <c r="I4" s="27" t="s">
        <v>529</v>
      </c>
      <c r="J4" s="27" t="s">
        <v>530</v>
      </c>
      <c r="K4" s="27" t="s">
        <v>1536</v>
      </c>
      <c r="L4" s="28">
        <v>45737</v>
      </c>
      <c r="M4" s="31">
        <v>410.36</v>
      </c>
      <c r="N4" s="27" t="s">
        <v>109</v>
      </c>
      <c r="O4" s="27" t="s">
        <v>143</v>
      </c>
      <c r="P4" s="27" t="s">
        <v>117</v>
      </c>
      <c r="Q4" s="27" t="s">
        <v>1537</v>
      </c>
    </row>
    <row r="5" spans="1:17" x14ac:dyDescent="0.2">
      <c r="A5" s="27" t="s">
        <v>104</v>
      </c>
      <c r="B5" s="27" t="s">
        <v>56</v>
      </c>
      <c r="C5" s="27"/>
      <c r="D5" s="30">
        <v>45740</v>
      </c>
      <c r="E5" s="27" t="s">
        <v>1449</v>
      </c>
      <c r="F5" s="27" t="s">
        <v>1531</v>
      </c>
      <c r="H5" s="27" t="s">
        <v>1338</v>
      </c>
      <c r="J5" s="27" t="s">
        <v>1168</v>
      </c>
      <c r="K5" s="27" t="s">
        <v>1532</v>
      </c>
      <c r="L5" s="28">
        <v>45740</v>
      </c>
      <c r="M5" s="31">
        <v>-50.72</v>
      </c>
      <c r="N5" s="27" t="s">
        <v>109</v>
      </c>
      <c r="P5" s="27" t="s">
        <v>117</v>
      </c>
      <c r="Q5" s="27" t="s">
        <v>1532</v>
      </c>
    </row>
    <row r="6" spans="1:17" x14ac:dyDescent="0.2">
      <c r="A6" s="27" t="s">
        <v>104</v>
      </c>
      <c r="B6" s="27" t="s">
        <v>28</v>
      </c>
      <c r="C6" s="27"/>
      <c r="D6" s="30">
        <v>45740</v>
      </c>
      <c r="E6" s="27" t="s">
        <v>1449</v>
      </c>
      <c r="F6" s="27" t="s">
        <v>1533</v>
      </c>
      <c r="G6" s="27" t="s">
        <v>29</v>
      </c>
      <c r="H6" s="27" t="s">
        <v>30</v>
      </c>
      <c r="I6" s="27" t="s">
        <v>152</v>
      </c>
      <c r="J6" s="27" t="s">
        <v>153</v>
      </c>
      <c r="K6" s="27" t="s">
        <v>1534</v>
      </c>
      <c r="L6" s="28">
        <v>45740</v>
      </c>
      <c r="M6" s="31">
        <v>-500</v>
      </c>
      <c r="N6" s="27" t="s">
        <v>109</v>
      </c>
      <c r="O6" s="27" t="s">
        <v>124</v>
      </c>
      <c r="P6" s="27" t="s">
        <v>117</v>
      </c>
      <c r="Q6" s="27" t="s">
        <v>1534</v>
      </c>
    </row>
    <row r="7" spans="1:17" x14ac:dyDescent="0.2">
      <c r="A7" s="27" t="s">
        <v>104</v>
      </c>
      <c r="B7" s="27" t="s">
        <v>52</v>
      </c>
      <c r="C7" s="27"/>
      <c r="D7" s="30">
        <v>45742</v>
      </c>
      <c r="E7" s="27" t="s">
        <v>1449</v>
      </c>
      <c r="F7" s="27" t="s">
        <v>1529</v>
      </c>
      <c r="H7" s="27" t="s">
        <v>170</v>
      </c>
      <c r="J7" s="27" t="s">
        <v>171</v>
      </c>
      <c r="K7" s="27" t="s">
        <v>1530</v>
      </c>
      <c r="L7" s="28">
        <v>45742</v>
      </c>
      <c r="M7" s="31">
        <v>-35.76</v>
      </c>
      <c r="N7" s="27" t="s">
        <v>109</v>
      </c>
      <c r="P7" s="27" t="s">
        <v>117</v>
      </c>
      <c r="Q7" s="27" t="s">
        <v>1530</v>
      </c>
    </row>
    <row r="8" spans="1:17" x14ac:dyDescent="0.2">
      <c r="A8" s="27" t="s">
        <v>104</v>
      </c>
      <c r="B8" s="27" t="s">
        <v>5</v>
      </c>
      <c r="C8" s="27"/>
      <c r="D8" s="30">
        <v>45748</v>
      </c>
      <c r="E8" s="27" t="s">
        <v>1449</v>
      </c>
      <c r="F8" s="27" t="s">
        <v>1520</v>
      </c>
      <c r="G8" s="27" t="s">
        <v>78</v>
      </c>
      <c r="H8" s="27" t="s">
        <v>79</v>
      </c>
      <c r="I8" s="27" t="s">
        <v>135</v>
      </c>
      <c r="J8" s="27" t="s">
        <v>136</v>
      </c>
      <c r="K8" s="27" t="s">
        <v>1521</v>
      </c>
      <c r="L8" s="28">
        <v>45748</v>
      </c>
      <c r="M8" s="31">
        <v>1899.71</v>
      </c>
      <c r="N8" s="27" t="s">
        <v>109</v>
      </c>
      <c r="O8" s="27" t="s">
        <v>124</v>
      </c>
      <c r="P8" s="27" t="s">
        <v>117</v>
      </c>
      <c r="Q8" s="27" t="s">
        <v>1522</v>
      </c>
    </row>
    <row r="9" spans="1:17" x14ac:dyDescent="0.2">
      <c r="A9" s="27" t="s">
        <v>104</v>
      </c>
      <c r="B9" s="27" t="s">
        <v>52</v>
      </c>
      <c r="C9" s="27"/>
      <c r="D9" s="30">
        <v>45748</v>
      </c>
      <c r="E9" s="27" t="s">
        <v>1449</v>
      </c>
      <c r="F9" s="27" t="s">
        <v>1523</v>
      </c>
      <c r="H9" s="27" t="s">
        <v>170</v>
      </c>
      <c r="J9" s="27" t="s">
        <v>171</v>
      </c>
      <c r="K9" s="27" t="s">
        <v>1524</v>
      </c>
      <c r="L9" s="28">
        <v>45748</v>
      </c>
      <c r="M9" s="31">
        <v>-19.989999999999998</v>
      </c>
      <c r="N9" s="27" t="s">
        <v>109</v>
      </c>
      <c r="P9" s="27" t="s">
        <v>117</v>
      </c>
      <c r="Q9" s="27" t="s">
        <v>1524</v>
      </c>
    </row>
    <row r="10" spans="1:17" x14ac:dyDescent="0.2">
      <c r="A10" s="27" t="s">
        <v>104</v>
      </c>
      <c r="B10" s="27" t="s">
        <v>32</v>
      </c>
      <c r="C10" s="27"/>
      <c r="D10" s="30">
        <v>45748</v>
      </c>
      <c r="E10" s="27" t="s">
        <v>1449</v>
      </c>
      <c r="F10" s="27" t="s">
        <v>1525</v>
      </c>
      <c r="G10" s="27" t="s">
        <v>7</v>
      </c>
      <c r="H10" s="27" t="s">
        <v>1526</v>
      </c>
      <c r="K10" s="27" t="s">
        <v>1527</v>
      </c>
      <c r="L10" s="28">
        <v>45748</v>
      </c>
      <c r="M10" s="31">
        <v>-15.89</v>
      </c>
      <c r="N10" s="27" t="s">
        <v>109</v>
      </c>
      <c r="O10" s="27" t="s">
        <v>244</v>
      </c>
      <c r="Q10" s="27" t="s">
        <v>1528</v>
      </c>
    </row>
    <row r="11" spans="1:17" x14ac:dyDescent="0.2">
      <c r="A11" s="27" t="s">
        <v>104</v>
      </c>
      <c r="B11" s="27" t="s">
        <v>5</v>
      </c>
      <c r="C11" s="29" t="s">
        <v>1593</v>
      </c>
      <c r="D11" s="30">
        <v>45749</v>
      </c>
      <c r="E11" s="27" t="s">
        <v>1449</v>
      </c>
      <c r="F11" s="27" t="s">
        <v>1479</v>
      </c>
      <c r="G11" s="27" t="s">
        <v>1480</v>
      </c>
      <c r="H11" s="27" t="s">
        <v>1481</v>
      </c>
      <c r="I11" s="27" t="s">
        <v>1482</v>
      </c>
      <c r="J11" s="27" t="s">
        <v>184</v>
      </c>
      <c r="K11" s="27" t="s">
        <v>1483</v>
      </c>
      <c r="L11" s="28">
        <v>45749</v>
      </c>
      <c r="M11" s="31">
        <v>95</v>
      </c>
      <c r="N11" s="27" t="s">
        <v>109</v>
      </c>
      <c r="O11" s="27" t="s">
        <v>244</v>
      </c>
      <c r="P11" s="27" t="s">
        <v>117</v>
      </c>
      <c r="Q11" s="27" t="s">
        <v>1484</v>
      </c>
    </row>
    <row r="12" spans="1:17" x14ac:dyDescent="0.2">
      <c r="A12" s="27" t="s">
        <v>104</v>
      </c>
      <c r="B12" s="27" t="s">
        <v>5</v>
      </c>
      <c r="C12" s="29" t="s">
        <v>1593</v>
      </c>
      <c r="D12" s="30">
        <v>45749</v>
      </c>
      <c r="E12" s="27" t="s">
        <v>1449</v>
      </c>
      <c r="F12" s="27" t="s">
        <v>1511</v>
      </c>
      <c r="G12" s="27" t="s">
        <v>1512</v>
      </c>
      <c r="H12" s="27" t="s">
        <v>1513</v>
      </c>
      <c r="I12" s="27" t="s">
        <v>1514</v>
      </c>
      <c r="J12" s="27" t="s">
        <v>1515</v>
      </c>
      <c r="K12" s="27" t="s">
        <v>1516</v>
      </c>
      <c r="L12" s="28">
        <v>45749</v>
      </c>
      <c r="M12" s="31">
        <v>86</v>
      </c>
      <c r="N12" s="27" t="s">
        <v>109</v>
      </c>
      <c r="O12" s="27" t="s">
        <v>244</v>
      </c>
      <c r="P12" s="27" t="s">
        <v>117</v>
      </c>
      <c r="Q12" s="27" t="s">
        <v>1517</v>
      </c>
    </row>
    <row r="13" spans="1:17" x14ac:dyDescent="0.2">
      <c r="A13" s="27" t="s">
        <v>104</v>
      </c>
      <c r="B13" s="27" t="s">
        <v>5</v>
      </c>
      <c r="C13" s="29"/>
      <c r="D13" s="30">
        <v>45749</v>
      </c>
      <c r="E13" s="27" t="s">
        <v>1449</v>
      </c>
      <c r="F13" s="27" t="s">
        <v>1477</v>
      </c>
      <c r="G13" s="27" t="s">
        <v>1465</v>
      </c>
      <c r="H13" s="27" t="s">
        <v>1466</v>
      </c>
      <c r="I13" s="27" t="s">
        <v>1467</v>
      </c>
      <c r="J13" s="27" t="s">
        <v>1468</v>
      </c>
      <c r="K13" s="27" t="s">
        <v>1478</v>
      </c>
      <c r="L13" s="28">
        <v>45749</v>
      </c>
      <c r="M13" s="31">
        <v>40</v>
      </c>
      <c r="N13" s="27" t="s">
        <v>109</v>
      </c>
      <c r="O13" s="27" t="s">
        <v>244</v>
      </c>
      <c r="P13" s="27" t="s">
        <v>117</v>
      </c>
      <c r="Q13" s="27" t="s">
        <v>1470</v>
      </c>
    </row>
    <row r="14" spans="1:17" x14ac:dyDescent="0.2">
      <c r="A14" s="27" t="s">
        <v>104</v>
      </c>
      <c r="B14" s="27" t="s">
        <v>5</v>
      </c>
      <c r="C14" s="29" t="s">
        <v>1593</v>
      </c>
      <c r="D14" s="30">
        <v>45749</v>
      </c>
      <c r="E14" s="27" t="s">
        <v>1449</v>
      </c>
      <c r="F14" s="27" t="s">
        <v>1495</v>
      </c>
      <c r="G14" s="27" t="s">
        <v>1496</v>
      </c>
      <c r="H14" s="27" t="s">
        <v>1497</v>
      </c>
      <c r="I14" s="27" t="s">
        <v>1498</v>
      </c>
      <c r="J14" s="27" t="s">
        <v>1168</v>
      </c>
      <c r="K14" s="27" t="s">
        <v>1499</v>
      </c>
      <c r="L14" s="28">
        <v>45749</v>
      </c>
      <c r="M14" s="31">
        <v>28</v>
      </c>
      <c r="N14" s="27" t="s">
        <v>109</v>
      </c>
      <c r="O14" s="27" t="s">
        <v>124</v>
      </c>
      <c r="P14" s="27" t="s">
        <v>117</v>
      </c>
      <c r="Q14" s="27" t="s">
        <v>1500</v>
      </c>
    </row>
    <row r="15" spans="1:17" x14ac:dyDescent="0.2">
      <c r="A15" s="27" t="s">
        <v>104</v>
      </c>
      <c r="B15" s="27" t="s">
        <v>5</v>
      </c>
      <c r="C15" s="29" t="s">
        <v>1593</v>
      </c>
      <c r="D15" s="30">
        <v>45749</v>
      </c>
      <c r="E15" s="27" t="s">
        <v>1449</v>
      </c>
      <c r="F15" s="27" t="s">
        <v>1505</v>
      </c>
      <c r="G15" s="27" t="s">
        <v>1506</v>
      </c>
      <c r="H15" s="27" t="s">
        <v>1507</v>
      </c>
      <c r="I15" s="27" t="s">
        <v>1587</v>
      </c>
      <c r="J15" s="27" t="s">
        <v>1588</v>
      </c>
      <c r="K15" s="27" t="s">
        <v>1508</v>
      </c>
      <c r="L15" s="28">
        <v>45749</v>
      </c>
      <c r="M15" s="31">
        <v>14</v>
      </c>
      <c r="N15" s="27" t="s">
        <v>109</v>
      </c>
      <c r="O15" s="27" t="s">
        <v>1509</v>
      </c>
      <c r="P15" s="27" t="s">
        <v>117</v>
      </c>
      <c r="Q15" s="27" t="s">
        <v>1510</v>
      </c>
    </row>
    <row r="16" spans="1:17" x14ac:dyDescent="0.2">
      <c r="A16" s="27" t="s">
        <v>104</v>
      </c>
      <c r="B16" s="27" t="s">
        <v>5</v>
      </c>
      <c r="C16" s="29" t="s">
        <v>1593</v>
      </c>
      <c r="D16" s="30">
        <v>45749</v>
      </c>
      <c r="E16" s="27" t="s">
        <v>1449</v>
      </c>
      <c r="F16" s="27" t="s">
        <v>1485</v>
      </c>
      <c r="G16" s="27" t="s">
        <v>73</v>
      </c>
      <c r="H16" s="27" t="s">
        <v>74</v>
      </c>
      <c r="I16" s="27" t="s">
        <v>1486</v>
      </c>
      <c r="J16" s="27" t="s">
        <v>276</v>
      </c>
      <c r="K16" s="27" t="s">
        <v>1487</v>
      </c>
      <c r="L16" s="28">
        <v>45749</v>
      </c>
      <c r="M16" s="31">
        <v>7</v>
      </c>
      <c r="N16" s="27" t="s">
        <v>109</v>
      </c>
      <c r="O16" s="27" t="s">
        <v>244</v>
      </c>
      <c r="P16" s="27" t="s">
        <v>117</v>
      </c>
      <c r="Q16" s="27" t="s">
        <v>1488</v>
      </c>
    </row>
    <row r="17" spans="1:17" x14ac:dyDescent="0.2">
      <c r="A17" s="27" t="s">
        <v>104</v>
      </c>
      <c r="B17" s="27" t="s">
        <v>17</v>
      </c>
      <c r="C17" s="27"/>
      <c r="D17" s="30">
        <v>45749</v>
      </c>
      <c r="E17" s="27" t="s">
        <v>1449</v>
      </c>
      <c r="F17" s="27" t="s">
        <v>1518</v>
      </c>
      <c r="H17" s="27" t="s">
        <v>1519</v>
      </c>
      <c r="J17" s="27" t="s">
        <v>313</v>
      </c>
      <c r="K17" s="27" t="s">
        <v>1589</v>
      </c>
      <c r="L17" s="28">
        <v>45749</v>
      </c>
      <c r="M17" s="31">
        <v>-68.2</v>
      </c>
      <c r="N17" s="27" t="s">
        <v>109</v>
      </c>
      <c r="P17" s="27" t="s">
        <v>117</v>
      </c>
      <c r="Q17" s="27" t="s">
        <v>1589</v>
      </c>
    </row>
    <row r="18" spans="1:17" x14ac:dyDescent="0.2">
      <c r="A18" s="27" t="s">
        <v>104</v>
      </c>
      <c r="B18" s="27" t="s">
        <v>5</v>
      </c>
      <c r="C18" s="29" t="s">
        <v>1593</v>
      </c>
      <c r="D18" s="30">
        <v>45749</v>
      </c>
      <c r="E18" s="27" t="s">
        <v>1449</v>
      </c>
      <c r="F18" s="27" t="s">
        <v>1489</v>
      </c>
      <c r="G18" s="27" t="s">
        <v>1490</v>
      </c>
      <c r="H18" s="27" t="s">
        <v>1491</v>
      </c>
      <c r="I18" s="27" t="s">
        <v>1492</v>
      </c>
      <c r="J18" s="27" t="s">
        <v>789</v>
      </c>
      <c r="K18" s="27" t="s">
        <v>1493</v>
      </c>
      <c r="L18" s="28">
        <v>45749</v>
      </c>
      <c r="M18" s="31">
        <v>7</v>
      </c>
      <c r="N18" s="27" t="s">
        <v>109</v>
      </c>
      <c r="O18" s="27" t="s">
        <v>124</v>
      </c>
      <c r="P18" s="27" t="s">
        <v>117</v>
      </c>
      <c r="Q18" s="27" t="s">
        <v>1494</v>
      </c>
    </row>
    <row r="19" spans="1:17" x14ac:dyDescent="0.2">
      <c r="A19" s="27" t="s">
        <v>104</v>
      </c>
      <c r="B19" s="27" t="s">
        <v>5</v>
      </c>
      <c r="C19" s="29" t="s">
        <v>1593</v>
      </c>
      <c r="D19" s="30">
        <v>45749</v>
      </c>
      <c r="E19" s="27" t="s">
        <v>1449</v>
      </c>
      <c r="F19" s="27" t="s">
        <v>1501</v>
      </c>
      <c r="G19" s="27" t="s">
        <v>59</v>
      </c>
      <c r="H19" s="27" t="s">
        <v>60</v>
      </c>
      <c r="I19" s="27" t="s">
        <v>1502</v>
      </c>
      <c r="J19" s="27" t="s">
        <v>1312</v>
      </c>
      <c r="K19" s="27" t="s">
        <v>1503</v>
      </c>
      <c r="L19" s="28">
        <v>45749</v>
      </c>
      <c r="M19" s="31">
        <v>7</v>
      </c>
      <c r="N19" s="27" t="s">
        <v>109</v>
      </c>
      <c r="O19" s="27" t="s">
        <v>244</v>
      </c>
      <c r="P19" s="27" t="s">
        <v>117</v>
      </c>
      <c r="Q19" s="27" t="s">
        <v>1504</v>
      </c>
    </row>
    <row r="20" spans="1:17" x14ac:dyDescent="0.2">
      <c r="A20" s="27" t="s">
        <v>104</v>
      </c>
      <c r="B20" s="27" t="s">
        <v>5</v>
      </c>
      <c r="C20" s="29"/>
      <c r="D20" s="30">
        <v>45750</v>
      </c>
      <c r="E20" s="27" t="s">
        <v>1449</v>
      </c>
      <c r="F20" s="27" t="s">
        <v>1471</v>
      </c>
      <c r="G20" s="27" t="s">
        <v>1472</v>
      </c>
      <c r="H20" s="27" t="s">
        <v>1473</v>
      </c>
      <c r="I20" s="27" t="s">
        <v>1474</v>
      </c>
      <c r="J20" s="27" t="s">
        <v>789</v>
      </c>
      <c r="K20" s="27" t="s">
        <v>1475</v>
      </c>
      <c r="L20" s="28">
        <v>45749</v>
      </c>
      <c r="M20" s="31">
        <v>40</v>
      </c>
      <c r="N20" s="27" t="s">
        <v>109</v>
      </c>
      <c r="O20" s="27" t="s">
        <v>124</v>
      </c>
      <c r="P20" s="27" t="s">
        <v>117</v>
      </c>
      <c r="Q20" s="27" t="s">
        <v>1476</v>
      </c>
    </row>
    <row r="21" spans="1:17" x14ac:dyDescent="0.2">
      <c r="A21" s="27" t="s">
        <v>104</v>
      </c>
      <c r="B21" s="27" t="s">
        <v>5</v>
      </c>
      <c r="C21" s="29"/>
      <c r="D21" s="30">
        <v>45751</v>
      </c>
      <c r="E21" s="27" t="s">
        <v>1449</v>
      </c>
      <c r="F21" s="27" t="s">
        <v>1453</v>
      </c>
      <c r="G21" s="27" t="s">
        <v>1454</v>
      </c>
      <c r="H21" s="27" t="s">
        <v>1455</v>
      </c>
      <c r="I21" s="27" t="s">
        <v>1456</v>
      </c>
      <c r="J21" s="27" t="s">
        <v>1457</v>
      </c>
      <c r="K21" s="27" t="s">
        <v>1458</v>
      </c>
      <c r="L21" s="28">
        <v>45751</v>
      </c>
      <c r="M21" s="31">
        <v>40</v>
      </c>
      <c r="N21" s="27" t="s">
        <v>109</v>
      </c>
      <c r="O21" s="27" t="s">
        <v>244</v>
      </c>
      <c r="P21" s="27" t="s">
        <v>117</v>
      </c>
      <c r="Q21" s="27" t="s">
        <v>1459</v>
      </c>
    </row>
    <row r="22" spans="1:17" x14ac:dyDescent="0.2">
      <c r="A22" s="27" t="s">
        <v>104</v>
      </c>
      <c r="B22" s="27" t="s">
        <v>5</v>
      </c>
      <c r="C22" s="29"/>
      <c r="D22" s="30">
        <v>45751</v>
      </c>
      <c r="E22" s="27" t="s">
        <v>1449</v>
      </c>
      <c r="F22" s="27" t="s">
        <v>1464</v>
      </c>
      <c r="G22" s="27" t="s">
        <v>1465</v>
      </c>
      <c r="H22" s="27" t="s">
        <v>1466</v>
      </c>
      <c r="I22" s="27" t="s">
        <v>1467</v>
      </c>
      <c r="J22" s="27" t="s">
        <v>1468</v>
      </c>
      <c r="K22" s="27" t="s">
        <v>1469</v>
      </c>
      <c r="L22" s="28">
        <v>45750</v>
      </c>
      <c r="M22" s="31">
        <v>40</v>
      </c>
      <c r="N22" s="27" t="s">
        <v>109</v>
      </c>
      <c r="O22" s="27" t="s">
        <v>244</v>
      </c>
      <c r="P22" s="27" t="s">
        <v>117</v>
      </c>
      <c r="Q22" s="27" t="s">
        <v>1470</v>
      </c>
    </row>
    <row r="23" spans="1:17" x14ac:dyDescent="0.2">
      <c r="A23" s="27" t="s">
        <v>104</v>
      </c>
      <c r="B23" s="27" t="s">
        <v>5</v>
      </c>
      <c r="C23" s="29" t="s">
        <v>1593</v>
      </c>
      <c r="D23" s="30">
        <v>45751</v>
      </c>
      <c r="E23" s="27" t="s">
        <v>1449</v>
      </c>
      <c r="F23" s="27" t="s">
        <v>1450</v>
      </c>
      <c r="G23" s="27" t="s">
        <v>1204</v>
      </c>
      <c r="H23" s="27" t="s">
        <v>1205</v>
      </c>
      <c r="I23" s="27" t="s">
        <v>1206</v>
      </c>
      <c r="J23" s="27" t="s">
        <v>568</v>
      </c>
      <c r="K23" s="27" t="s">
        <v>1451</v>
      </c>
      <c r="L23" s="28">
        <v>45751</v>
      </c>
      <c r="M23" s="31">
        <v>14</v>
      </c>
      <c r="N23" s="27" t="s">
        <v>109</v>
      </c>
      <c r="O23" s="27" t="s">
        <v>124</v>
      </c>
      <c r="P23" s="27" t="s">
        <v>117</v>
      </c>
      <c r="Q23" s="27" t="s">
        <v>1452</v>
      </c>
    </row>
    <row r="24" spans="1:17" x14ac:dyDescent="0.2">
      <c r="A24" s="27" t="s">
        <v>104</v>
      </c>
      <c r="B24" s="27" t="s">
        <v>8</v>
      </c>
      <c r="C24" s="27"/>
      <c r="D24" s="30">
        <v>45751</v>
      </c>
      <c r="E24" s="27" t="s">
        <v>1449</v>
      </c>
      <c r="F24" s="27" t="s">
        <v>1460</v>
      </c>
      <c r="G24" s="27" t="s">
        <v>61</v>
      </c>
      <c r="H24" s="27" t="s">
        <v>77</v>
      </c>
      <c r="K24" s="27" t="s">
        <v>1461</v>
      </c>
      <c r="L24" s="28">
        <v>45751</v>
      </c>
      <c r="M24" s="31">
        <v>-140</v>
      </c>
      <c r="N24" s="27" t="s">
        <v>109</v>
      </c>
      <c r="O24" s="27" t="s">
        <v>124</v>
      </c>
      <c r="Q24" s="27" t="s">
        <v>1462</v>
      </c>
    </row>
    <row r="25" spans="1:17" x14ac:dyDescent="0.2">
      <c r="A25" s="27" t="s">
        <v>104</v>
      </c>
      <c r="B25" s="27" t="s">
        <v>12</v>
      </c>
      <c r="C25" s="27"/>
      <c r="D25" s="30">
        <v>45751</v>
      </c>
      <c r="E25" s="27" t="s">
        <v>1449</v>
      </c>
      <c r="F25" s="27" t="s">
        <v>1463</v>
      </c>
      <c r="K25" s="27" t="s">
        <v>1586</v>
      </c>
      <c r="L25" s="28">
        <v>45748</v>
      </c>
      <c r="M25" s="31">
        <v>-7.5</v>
      </c>
      <c r="N25" s="27" t="s">
        <v>109</v>
      </c>
      <c r="Q25" s="27" t="s">
        <v>1586</v>
      </c>
    </row>
    <row r="26" spans="1:17" x14ac:dyDescent="0.2">
      <c r="A26" s="27" t="s">
        <v>104</v>
      </c>
      <c r="B26" s="27" t="s">
        <v>5</v>
      </c>
      <c r="C26" s="29" t="s">
        <v>1593</v>
      </c>
      <c r="D26" s="30">
        <v>45754</v>
      </c>
      <c r="E26" s="27" t="s">
        <v>1277</v>
      </c>
      <c r="F26" s="27" t="s">
        <v>1427</v>
      </c>
      <c r="G26" s="27" t="s">
        <v>10</v>
      </c>
      <c r="H26" s="27" t="s">
        <v>11</v>
      </c>
      <c r="I26" s="27" t="s">
        <v>1428</v>
      </c>
      <c r="J26" s="27" t="s">
        <v>1262</v>
      </c>
      <c r="K26" s="27" t="s">
        <v>1584</v>
      </c>
      <c r="L26" s="28">
        <v>45754</v>
      </c>
      <c r="M26" s="31">
        <v>2696.9</v>
      </c>
      <c r="N26" s="27" t="s">
        <v>109</v>
      </c>
      <c r="O26" s="27" t="s">
        <v>124</v>
      </c>
      <c r="P26" s="27" t="s">
        <v>117</v>
      </c>
      <c r="Q26" s="27" t="s">
        <v>1585</v>
      </c>
    </row>
    <row r="27" spans="1:17" x14ac:dyDescent="0.2">
      <c r="A27" s="27" t="s">
        <v>104</v>
      </c>
      <c r="B27" s="27" t="s">
        <v>5</v>
      </c>
      <c r="C27" s="29" t="s">
        <v>1593</v>
      </c>
      <c r="D27" s="30">
        <v>45754</v>
      </c>
      <c r="E27" s="27" t="s">
        <v>1277</v>
      </c>
      <c r="F27" s="27" t="s">
        <v>1424</v>
      </c>
      <c r="G27" s="27" t="s">
        <v>35</v>
      </c>
      <c r="H27" s="27" t="s">
        <v>36</v>
      </c>
      <c r="I27" s="27" t="s">
        <v>234</v>
      </c>
      <c r="J27" s="27" t="s">
        <v>235</v>
      </c>
      <c r="K27" s="27" t="s">
        <v>1425</v>
      </c>
      <c r="L27" s="28">
        <v>45754</v>
      </c>
      <c r="M27" s="31">
        <v>55.5</v>
      </c>
      <c r="N27" s="27" t="s">
        <v>109</v>
      </c>
      <c r="O27" s="27" t="s">
        <v>199</v>
      </c>
      <c r="P27" s="27" t="s">
        <v>117</v>
      </c>
      <c r="Q27" s="27" t="s">
        <v>1426</v>
      </c>
    </row>
    <row r="28" spans="1:17" x14ac:dyDescent="0.2">
      <c r="A28" s="27" t="s">
        <v>104</v>
      </c>
      <c r="B28" s="27" t="s">
        <v>5</v>
      </c>
      <c r="C28" s="29" t="s">
        <v>1593</v>
      </c>
      <c r="D28" s="30">
        <v>45754</v>
      </c>
      <c r="E28" s="27" t="s">
        <v>1277</v>
      </c>
      <c r="F28" s="27" t="s">
        <v>1429</v>
      </c>
      <c r="G28" s="27" t="s">
        <v>1430</v>
      </c>
      <c r="H28" s="27" t="s">
        <v>1431</v>
      </c>
      <c r="I28" s="27" t="s">
        <v>1432</v>
      </c>
      <c r="J28" s="27" t="s">
        <v>1433</v>
      </c>
      <c r="K28" s="27" t="s">
        <v>1434</v>
      </c>
      <c r="L28" s="28">
        <v>45754</v>
      </c>
      <c r="M28" s="31">
        <v>18</v>
      </c>
      <c r="N28" s="27" t="s">
        <v>109</v>
      </c>
      <c r="O28" s="27" t="s">
        <v>244</v>
      </c>
      <c r="P28" s="27" t="s">
        <v>117</v>
      </c>
      <c r="Q28" s="27" t="s">
        <v>1435</v>
      </c>
    </row>
    <row r="29" spans="1:17" x14ac:dyDescent="0.2">
      <c r="A29" s="27" t="s">
        <v>104</v>
      </c>
      <c r="B29" s="27" t="s">
        <v>32</v>
      </c>
      <c r="C29" s="29"/>
      <c r="D29" s="30">
        <v>45754</v>
      </c>
      <c r="E29" s="27" t="s">
        <v>1277</v>
      </c>
      <c r="F29" s="27" t="s">
        <v>1439</v>
      </c>
      <c r="G29" s="27" t="s">
        <v>7</v>
      </c>
      <c r="H29" s="27" t="s">
        <v>1440</v>
      </c>
      <c r="K29" s="27" t="s">
        <v>1441</v>
      </c>
      <c r="L29" s="28">
        <v>45754</v>
      </c>
      <c r="M29" s="31">
        <v>15.89</v>
      </c>
      <c r="N29" s="27" t="s">
        <v>109</v>
      </c>
      <c r="O29" s="27" t="s">
        <v>244</v>
      </c>
      <c r="Q29" s="27" t="s">
        <v>1441</v>
      </c>
    </row>
    <row r="30" spans="1:17" x14ac:dyDescent="0.2">
      <c r="A30" s="27" t="s">
        <v>104</v>
      </c>
      <c r="B30" s="27" t="s">
        <v>5</v>
      </c>
      <c r="C30" s="29" t="s">
        <v>1593</v>
      </c>
      <c r="D30" s="30">
        <v>45754</v>
      </c>
      <c r="E30" s="27" t="s">
        <v>1277</v>
      </c>
      <c r="F30" s="27" t="s">
        <v>1445</v>
      </c>
      <c r="G30" s="27" t="s">
        <v>64</v>
      </c>
      <c r="H30" s="27" t="s">
        <v>65</v>
      </c>
      <c r="I30" s="27" t="s">
        <v>1446</v>
      </c>
      <c r="J30" s="27" t="s">
        <v>1312</v>
      </c>
      <c r="K30" s="27" t="s">
        <v>1447</v>
      </c>
      <c r="L30" s="28">
        <v>45752</v>
      </c>
      <c r="M30" s="31">
        <v>14</v>
      </c>
      <c r="N30" s="27" t="s">
        <v>109</v>
      </c>
      <c r="O30" s="27" t="s">
        <v>244</v>
      </c>
      <c r="P30" s="27" t="s">
        <v>117</v>
      </c>
      <c r="Q30" s="27" t="s">
        <v>1448</v>
      </c>
    </row>
    <row r="31" spans="1:17" x14ac:dyDescent="0.2">
      <c r="A31" s="27" t="s">
        <v>104</v>
      </c>
      <c r="B31" s="27" t="s">
        <v>8</v>
      </c>
      <c r="C31" s="27"/>
      <c r="D31" s="30">
        <v>45754</v>
      </c>
      <c r="E31" s="27" t="s">
        <v>1277</v>
      </c>
      <c r="F31" s="27" t="s">
        <v>1436</v>
      </c>
      <c r="G31" s="27" t="s">
        <v>78</v>
      </c>
      <c r="H31" s="27" t="s">
        <v>79</v>
      </c>
      <c r="K31" s="27" t="s">
        <v>1437</v>
      </c>
      <c r="L31" s="28">
        <v>45754</v>
      </c>
      <c r="M31" s="31">
        <v>-15.89</v>
      </c>
      <c r="N31" s="27" t="s">
        <v>109</v>
      </c>
      <c r="O31" s="27" t="s">
        <v>124</v>
      </c>
      <c r="Q31" s="27" t="s">
        <v>1438</v>
      </c>
    </row>
    <row r="32" spans="1:17" x14ac:dyDescent="0.2">
      <c r="A32" s="27" t="s">
        <v>104</v>
      </c>
      <c r="B32" s="27" t="s">
        <v>13</v>
      </c>
      <c r="C32" s="27"/>
      <c r="D32" s="30">
        <v>45754</v>
      </c>
      <c r="E32" s="27" t="s">
        <v>1277</v>
      </c>
      <c r="F32" s="27" t="s">
        <v>1442</v>
      </c>
      <c r="G32" s="27" t="s">
        <v>14</v>
      </c>
      <c r="H32" s="27" t="s">
        <v>53</v>
      </c>
      <c r="K32" s="27" t="s">
        <v>1443</v>
      </c>
      <c r="L32" s="28">
        <v>45752</v>
      </c>
      <c r="M32" s="31">
        <v>-1400</v>
      </c>
      <c r="N32" s="27" t="s">
        <v>109</v>
      </c>
      <c r="O32" s="27" t="s">
        <v>124</v>
      </c>
      <c r="Q32" s="27" t="s">
        <v>1444</v>
      </c>
    </row>
    <row r="33" spans="1:17" x14ac:dyDescent="0.2">
      <c r="A33" s="27" t="s">
        <v>104</v>
      </c>
      <c r="B33" s="27" t="s">
        <v>5</v>
      </c>
      <c r="C33" s="29" t="s">
        <v>1593</v>
      </c>
      <c r="D33" s="30">
        <v>45755</v>
      </c>
      <c r="E33" s="27" t="s">
        <v>1277</v>
      </c>
      <c r="F33" s="27" t="s">
        <v>1409</v>
      </c>
      <c r="G33" s="27" t="s">
        <v>1045</v>
      </c>
      <c r="H33" s="27" t="s">
        <v>1046</v>
      </c>
      <c r="I33" s="27" t="s">
        <v>1410</v>
      </c>
      <c r="J33" s="27" t="s">
        <v>1411</v>
      </c>
      <c r="K33" s="27" t="s">
        <v>1412</v>
      </c>
      <c r="L33" s="28">
        <v>45755</v>
      </c>
      <c r="M33" s="31">
        <v>143</v>
      </c>
      <c r="N33" s="27" t="s">
        <v>109</v>
      </c>
      <c r="O33" s="27" t="s">
        <v>244</v>
      </c>
      <c r="P33" s="27" t="s">
        <v>117</v>
      </c>
      <c r="Q33" s="27" t="s">
        <v>1413</v>
      </c>
    </row>
    <row r="34" spans="1:17" x14ac:dyDescent="0.2">
      <c r="A34" s="27" t="s">
        <v>104</v>
      </c>
      <c r="B34" s="27" t="s">
        <v>5</v>
      </c>
      <c r="C34" s="29" t="s">
        <v>1593</v>
      </c>
      <c r="D34" s="30">
        <v>45755</v>
      </c>
      <c r="E34" s="27" t="s">
        <v>1277</v>
      </c>
      <c r="F34" s="27" t="s">
        <v>1417</v>
      </c>
      <c r="G34" s="27" t="s">
        <v>1418</v>
      </c>
      <c r="H34" s="27" t="s">
        <v>1419</v>
      </c>
      <c r="I34" s="27" t="s">
        <v>1420</v>
      </c>
      <c r="J34" s="27" t="s">
        <v>1421</v>
      </c>
      <c r="K34" s="27" t="s">
        <v>1422</v>
      </c>
      <c r="L34" s="28">
        <v>45755</v>
      </c>
      <c r="M34" s="31">
        <v>28</v>
      </c>
      <c r="N34" s="27" t="s">
        <v>109</v>
      </c>
      <c r="O34" s="27" t="s">
        <v>143</v>
      </c>
      <c r="P34" s="27" t="s">
        <v>117</v>
      </c>
      <c r="Q34" s="27" t="s">
        <v>1423</v>
      </c>
    </row>
    <row r="35" spans="1:17" x14ac:dyDescent="0.2">
      <c r="A35" s="27" t="s">
        <v>104</v>
      </c>
      <c r="B35" s="27" t="s">
        <v>5</v>
      </c>
      <c r="C35" s="29" t="s">
        <v>1593</v>
      </c>
      <c r="D35" s="30">
        <v>45755</v>
      </c>
      <c r="E35" s="27" t="s">
        <v>1277</v>
      </c>
      <c r="F35" s="27" t="s">
        <v>1414</v>
      </c>
      <c r="G35" s="27" t="s">
        <v>1045</v>
      </c>
      <c r="H35" s="27" t="s">
        <v>1046</v>
      </c>
      <c r="I35" s="27" t="s">
        <v>1410</v>
      </c>
      <c r="J35" s="27" t="s">
        <v>1411</v>
      </c>
      <c r="K35" s="27" t="s">
        <v>1415</v>
      </c>
      <c r="L35" s="28">
        <v>45755</v>
      </c>
      <c r="M35" s="31">
        <v>22</v>
      </c>
      <c r="N35" s="27" t="s">
        <v>109</v>
      </c>
      <c r="O35" s="27" t="s">
        <v>244</v>
      </c>
      <c r="P35" s="27" t="s">
        <v>117</v>
      </c>
      <c r="Q35" s="27" t="s">
        <v>1416</v>
      </c>
    </row>
    <row r="36" spans="1:17" x14ac:dyDescent="0.2">
      <c r="A36" s="27" t="s">
        <v>104</v>
      </c>
      <c r="B36" s="27" t="s">
        <v>5</v>
      </c>
      <c r="C36" s="29" t="s">
        <v>1593</v>
      </c>
      <c r="D36" s="30">
        <v>45756</v>
      </c>
      <c r="E36" s="27" t="s">
        <v>1277</v>
      </c>
      <c r="F36" s="27" t="s">
        <v>1406</v>
      </c>
      <c r="G36" s="27" t="s">
        <v>19</v>
      </c>
      <c r="H36" s="27" t="s">
        <v>75</v>
      </c>
      <c r="I36" s="27" t="s">
        <v>529</v>
      </c>
      <c r="J36" s="27" t="s">
        <v>530</v>
      </c>
      <c r="K36" s="27" t="s">
        <v>1407</v>
      </c>
      <c r="L36" s="28">
        <v>45756</v>
      </c>
      <c r="M36" s="31">
        <v>527.92999999999995</v>
      </c>
      <c r="N36" s="27" t="s">
        <v>109</v>
      </c>
      <c r="O36" s="27" t="s">
        <v>143</v>
      </c>
      <c r="P36" s="27" t="s">
        <v>117</v>
      </c>
      <c r="Q36" s="27" t="s">
        <v>1408</v>
      </c>
    </row>
    <row r="37" spans="1:17" x14ac:dyDescent="0.2">
      <c r="A37" s="27" t="s">
        <v>104</v>
      </c>
      <c r="B37" s="27" t="s">
        <v>5</v>
      </c>
      <c r="C37" s="29" t="s">
        <v>1593</v>
      </c>
      <c r="D37" s="30">
        <v>45756</v>
      </c>
      <c r="E37" s="27" t="s">
        <v>1277</v>
      </c>
      <c r="F37" s="27" t="s">
        <v>1396</v>
      </c>
      <c r="G37" s="27" t="s">
        <v>15</v>
      </c>
      <c r="H37" s="27" t="s">
        <v>16</v>
      </c>
      <c r="I37" s="27" t="s">
        <v>196</v>
      </c>
      <c r="J37" s="27" t="s">
        <v>197</v>
      </c>
      <c r="K37" s="27" t="s">
        <v>1397</v>
      </c>
      <c r="L37" s="28">
        <v>45756</v>
      </c>
      <c r="M37" s="31">
        <v>435.66</v>
      </c>
      <c r="N37" s="27" t="s">
        <v>109</v>
      </c>
      <c r="O37" s="27" t="s">
        <v>199</v>
      </c>
      <c r="P37" s="27" t="s">
        <v>117</v>
      </c>
      <c r="Q37" s="27" t="s">
        <v>1398</v>
      </c>
    </row>
    <row r="38" spans="1:17" x14ac:dyDescent="0.2">
      <c r="A38" s="27" t="s">
        <v>104</v>
      </c>
      <c r="B38" s="27" t="s">
        <v>5</v>
      </c>
      <c r="C38" s="29" t="s">
        <v>1593</v>
      </c>
      <c r="D38" s="30">
        <v>45756</v>
      </c>
      <c r="E38" s="27" t="s">
        <v>1277</v>
      </c>
      <c r="F38" s="27" t="s">
        <v>1403</v>
      </c>
      <c r="G38" s="27" t="s">
        <v>50</v>
      </c>
      <c r="H38" s="27" t="s">
        <v>51</v>
      </c>
      <c r="I38" s="27" t="s">
        <v>443</v>
      </c>
      <c r="J38" s="27" t="s">
        <v>444</v>
      </c>
      <c r="K38" s="27" t="s">
        <v>1404</v>
      </c>
      <c r="L38" s="28">
        <v>45756</v>
      </c>
      <c r="M38" s="31">
        <v>40.79</v>
      </c>
      <c r="N38" s="27" t="s">
        <v>109</v>
      </c>
      <c r="O38" s="27" t="s">
        <v>199</v>
      </c>
      <c r="P38" s="27" t="s">
        <v>117</v>
      </c>
      <c r="Q38" s="27" t="s">
        <v>1405</v>
      </c>
    </row>
    <row r="39" spans="1:17" x14ac:dyDescent="0.2">
      <c r="A39" s="27" t="s">
        <v>104</v>
      </c>
      <c r="B39" s="27" t="s">
        <v>8</v>
      </c>
      <c r="C39" s="27"/>
      <c r="D39" s="30">
        <v>45756</v>
      </c>
      <c r="E39" s="27" t="s">
        <v>1277</v>
      </c>
      <c r="F39" s="27" t="s">
        <v>1399</v>
      </c>
      <c r="H39" s="27" t="s">
        <v>1400</v>
      </c>
      <c r="J39" s="27" t="s">
        <v>1401</v>
      </c>
      <c r="K39" s="27" t="s">
        <v>1402</v>
      </c>
      <c r="L39" s="28">
        <v>45756</v>
      </c>
      <c r="M39" s="31">
        <v>-84.85</v>
      </c>
      <c r="N39" s="27" t="s">
        <v>109</v>
      </c>
      <c r="P39" s="27" t="s">
        <v>117</v>
      </c>
      <c r="Q39" s="27" t="s">
        <v>1402</v>
      </c>
    </row>
    <row r="40" spans="1:17" x14ac:dyDescent="0.2">
      <c r="A40" s="27" t="s">
        <v>104</v>
      </c>
      <c r="B40" s="27" t="s">
        <v>5</v>
      </c>
      <c r="C40" s="29" t="s">
        <v>1593</v>
      </c>
      <c r="D40" s="30">
        <v>45758</v>
      </c>
      <c r="E40" s="27" t="s">
        <v>1277</v>
      </c>
      <c r="F40" s="27" t="s">
        <v>1387</v>
      </c>
      <c r="G40" s="27" t="s">
        <v>1388</v>
      </c>
      <c r="H40" s="27" t="s">
        <v>1389</v>
      </c>
      <c r="I40" s="27" t="s">
        <v>1390</v>
      </c>
      <c r="J40" s="27" t="s">
        <v>803</v>
      </c>
      <c r="K40" s="27" t="s">
        <v>1391</v>
      </c>
      <c r="L40" s="28">
        <v>45758</v>
      </c>
      <c r="M40" s="31">
        <v>85</v>
      </c>
      <c r="N40" s="27" t="s">
        <v>109</v>
      </c>
      <c r="O40" s="27" t="s">
        <v>143</v>
      </c>
      <c r="P40" s="27" t="s">
        <v>117</v>
      </c>
      <c r="Q40" s="27" t="s">
        <v>1392</v>
      </c>
    </row>
    <row r="41" spans="1:17" x14ac:dyDescent="0.2">
      <c r="A41" s="27" t="s">
        <v>104</v>
      </c>
      <c r="B41" s="27" t="s">
        <v>5</v>
      </c>
      <c r="C41" s="29" t="s">
        <v>1593</v>
      </c>
      <c r="D41" s="30">
        <v>45758</v>
      </c>
      <c r="E41" s="27" t="s">
        <v>1277</v>
      </c>
      <c r="F41" s="27" t="s">
        <v>1393</v>
      </c>
      <c r="G41" s="27" t="s">
        <v>1388</v>
      </c>
      <c r="H41" s="27" t="s">
        <v>1389</v>
      </c>
      <c r="I41" s="27" t="s">
        <v>1390</v>
      </c>
      <c r="J41" s="27" t="s">
        <v>803</v>
      </c>
      <c r="K41" s="27" t="s">
        <v>1394</v>
      </c>
      <c r="L41" s="28">
        <v>45758</v>
      </c>
      <c r="M41" s="31">
        <v>7</v>
      </c>
      <c r="N41" s="27" t="s">
        <v>109</v>
      </c>
      <c r="O41" s="27" t="s">
        <v>143</v>
      </c>
      <c r="P41" s="27" t="s">
        <v>117</v>
      </c>
      <c r="Q41" s="27" t="s">
        <v>1395</v>
      </c>
    </row>
    <row r="42" spans="1:17" x14ac:dyDescent="0.2">
      <c r="A42" s="27" t="s">
        <v>104</v>
      </c>
      <c r="B42" s="27" t="s">
        <v>5</v>
      </c>
      <c r="C42" s="29" t="s">
        <v>1593</v>
      </c>
      <c r="D42" s="30">
        <v>45761</v>
      </c>
      <c r="E42" s="27" t="s">
        <v>1277</v>
      </c>
      <c r="F42" s="27" t="s">
        <v>1380</v>
      </c>
      <c r="G42" s="27" t="s">
        <v>44</v>
      </c>
      <c r="H42" s="27" t="s">
        <v>76</v>
      </c>
      <c r="I42" s="27" t="s">
        <v>174</v>
      </c>
      <c r="J42" s="27" t="s">
        <v>175</v>
      </c>
      <c r="K42" s="27" t="s">
        <v>1381</v>
      </c>
      <c r="L42" s="28">
        <v>45761</v>
      </c>
      <c r="M42" s="31">
        <v>377.51</v>
      </c>
      <c r="N42" s="27" t="s">
        <v>109</v>
      </c>
      <c r="O42" s="27" t="s">
        <v>143</v>
      </c>
      <c r="P42" s="27" t="s">
        <v>117</v>
      </c>
      <c r="Q42" s="27" t="s">
        <v>1382</v>
      </c>
    </row>
    <row r="43" spans="1:17" x14ac:dyDescent="0.2">
      <c r="A43" s="27" t="s">
        <v>104</v>
      </c>
      <c r="B43" s="27" t="s">
        <v>22</v>
      </c>
      <c r="C43" s="27"/>
      <c r="D43" s="30">
        <v>45761</v>
      </c>
      <c r="E43" s="27" t="s">
        <v>1277</v>
      </c>
      <c r="F43" s="27" t="s">
        <v>1383</v>
      </c>
      <c r="G43" s="27" t="s">
        <v>26</v>
      </c>
      <c r="H43" s="27" t="s">
        <v>27</v>
      </c>
      <c r="K43" s="27" t="s">
        <v>1384</v>
      </c>
      <c r="L43" s="28">
        <v>45759</v>
      </c>
      <c r="M43" s="31">
        <v>-1753.17</v>
      </c>
      <c r="N43" s="27" t="s">
        <v>109</v>
      </c>
      <c r="O43" s="27" t="s">
        <v>124</v>
      </c>
      <c r="Q43" s="27" t="s">
        <v>376</v>
      </c>
    </row>
    <row r="44" spans="1:17" x14ac:dyDescent="0.2">
      <c r="A44" s="27" t="s">
        <v>104</v>
      </c>
      <c r="B44" s="27" t="s">
        <v>22</v>
      </c>
      <c r="C44" s="27"/>
      <c r="D44" s="30">
        <v>45761</v>
      </c>
      <c r="E44" s="27" t="s">
        <v>1277</v>
      </c>
      <c r="F44" s="27" t="s">
        <v>1385</v>
      </c>
      <c r="G44" s="27" t="s">
        <v>26</v>
      </c>
      <c r="H44" s="27" t="s">
        <v>27</v>
      </c>
      <c r="K44" s="27" t="s">
        <v>1386</v>
      </c>
      <c r="L44" s="28">
        <v>45759</v>
      </c>
      <c r="M44" s="31">
        <v>-3831.12</v>
      </c>
      <c r="N44" s="27" t="s">
        <v>109</v>
      </c>
      <c r="O44" s="27" t="s">
        <v>124</v>
      </c>
      <c r="Q44" s="27" t="s">
        <v>376</v>
      </c>
    </row>
    <row r="45" spans="1:17" x14ac:dyDescent="0.2">
      <c r="A45" s="27" t="s">
        <v>104</v>
      </c>
      <c r="B45" s="27" t="s">
        <v>5</v>
      </c>
      <c r="C45" s="29"/>
      <c r="D45" s="30">
        <v>45762</v>
      </c>
      <c r="E45" s="27" t="s">
        <v>1277</v>
      </c>
      <c r="F45" s="27" t="s">
        <v>1373</v>
      </c>
      <c r="G45" s="27" t="s">
        <v>1374</v>
      </c>
      <c r="H45" s="27" t="s">
        <v>1375</v>
      </c>
      <c r="I45" s="27" t="s">
        <v>1376</v>
      </c>
      <c r="J45" s="27" t="s">
        <v>1377</v>
      </c>
      <c r="K45" s="27" t="s">
        <v>1378</v>
      </c>
      <c r="L45" s="28">
        <v>45762</v>
      </c>
      <c r="M45" s="31">
        <v>40</v>
      </c>
      <c r="N45" s="27" t="s">
        <v>109</v>
      </c>
      <c r="O45" s="27" t="s">
        <v>199</v>
      </c>
      <c r="P45" s="27" t="s">
        <v>117</v>
      </c>
      <c r="Q45" s="27" t="s">
        <v>1379</v>
      </c>
    </row>
    <row r="46" spans="1:17" x14ac:dyDescent="0.2">
      <c r="A46" s="27" t="s">
        <v>104</v>
      </c>
      <c r="B46" s="27" t="s">
        <v>5</v>
      </c>
      <c r="C46" s="29"/>
      <c r="D46" s="30">
        <v>45763</v>
      </c>
      <c r="E46" s="27" t="s">
        <v>1277</v>
      </c>
      <c r="F46" s="27" t="s">
        <v>1370</v>
      </c>
      <c r="G46" s="27" t="s">
        <v>66</v>
      </c>
      <c r="H46" s="27" t="s">
        <v>67</v>
      </c>
      <c r="I46" s="27" t="s">
        <v>1199</v>
      </c>
      <c r="J46" s="27" t="s">
        <v>1200</v>
      </c>
      <c r="K46" s="27" t="s">
        <v>1371</v>
      </c>
      <c r="L46" s="28">
        <v>45762</v>
      </c>
      <c r="M46" s="31">
        <v>40</v>
      </c>
      <c r="N46" s="27" t="s">
        <v>109</v>
      </c>
      <c r="O46" s="27" t="s">
        <v>244</v>
      </c>
      <c r="P46" s="27" t="s">
        <v>117</v>
      </c>
      <c r="Q46" s="27" t="s">
        <v>1372</v>
      </c>
    </row>
    <row r="47" spans="1:17" x14ac:dyDescent="0.2">
      <c r="A47" s="27" t="s">
        <v>104</v>
      </c>
      <c r="B47" s="27" t="s">
        <v>17</v>
      </c>
      <c r="C47" s="27"/>
      <c r="D47" s="30">
        <v>45769</v>
      </c>
      <c r="E47" s="27" t="s">
        <v>1277</v>
      </c>
      <c r="F47" s="27" t="s">
        <v>1363</v>
      </c>
      <c r="H47" s="27" t="s">
        <v>1364</v>
      </c>
      <c r="J47" s="27" t="s">
        <v>1365</v>
      </c>
      <c r="K47" s="27" t="s">
        <v>1583</v>
      </c>
      <c r="L47" s="28">
        <v>45769</v>
      </c>
      <c r="M47" s="31">
        <v>-10.220000000000001</v>
      </c>
      <c r="N47" s="27" t="s">
        <v>109</v>
      </c>
      <c r="P47" s="27" t="s">
        <v>817</v>
      </c>
      <c r="Q47" s="27" t="s">
        <v>1583</v>
      </c>
    </row>
    <row r="48" spans="1:17" x14ac:dyDescent="0.2">
      <c r="A48" s="27" t="s">
        <v>104</v>
      </c>
      <c r="B48" s="27" t="s">
        <v>8</v>
      </c>
      <c r="C48" s="27"/>
      <c r="D48" s="30">
        <v>45769</v>
      </c>
      <c r="E48" s="27" t="s">
        <v>1277</v>
      </c>
      <c r="F48" s="27" t="s">
        <v>1366</v>
      </c>
      <c r="H48" s="27" t="s">
        <v>1367</v>
      </c>
      <c r="J48" s="27" t="s">
        <v>1368</v>
      </c>
      <c r="K48" s="27" t="s">
        <v>1369</v>
      </c>
      <c r="L48" s="28">
        <v>45767</v>
      </c>
      <c r="M48" s="31">
        <v>-106.36</v>
      </c>
      <c r="N48" s="27" t="s">
        <v>109</v>
      </c>
      <c r="P48" s="27" t="s">
        <v>117</v>
      </c>
      <c r="Q48" s="27" t="s">
        <v>1369</v>
      </c>
    </row>
    <row r="49" spans="1:17" x14ac:dyDescent="0.2">
      <c r="A49" s="27" t="s">
        <v>104</v>
      </c>
      <c r="B49" s="27" t="s">
        <v>5</v>
      </c>
      <c r="C49" s="29" t="s">
        <v>1593</v>
      </c>
      <c r="D49" s="30">
        <v>45770</v>
      </c>
      <c r="E49" s="27" t="s">
        <v>1277</v>
      </c>
      <c r="F49" s="27" t="s">
        <v>1357</v>
      </c>
      <c r="G49" s="27" t="s">
        <v>1358</v>
      </c>
      <c r="H49" s="27" t="s">
        <v>1359</v>
      </c>
      <c r="I49" s="27" t="s">
        <v>1360</v>
      </c>
      <c r="J49" s="27" t="s">
        <v>1312</v>
      </c>
      <c r="K49" s="27" t="s">
        <v>1361</v>
      </c>
      <c r="L49" s="28">
        <v>45770</v>
      </c>
      <c r="M49" s="31">
        <v>13</v>
      </c>
      <c r="N49" s="27" t="s">
        <v>109</v>
      </c>
      <c r="O49" s="27" t="s">
        <v>244</v>
      </c>
      <c r="P49" s="27" t="s">
        <v>117</v>
      </c>
      <c r="Q49" s="27" t="s">
        <v>1362</v>
      </c>
    </row>
    <row r="50" spans="1:17" x14ac:dyDescent="0.2">
      <c r="A50" s="27" t="s">
        <v>104</v>
      </c>
      <c r="B50" s="27" t="s">
        <v>32</v>
      </c>
      <c r="C50" s="27"/>
      <c r="D50" s="30">
        <v>45771</v>
      </c>
      <c r="E50" s="27" t="s">
        <v>1277</v>
      </c>
      <c r="F50" s="27" t="s">
        <v>1349</v>
      </c>
      <c r="G50" s="27" t="s">
        <v>14</v>
      </c>
      <c r="H50" s="27" t="s">
        <v>363</v>
      </c>
      <c r="I50" s="27" t="s">
        <v>364</v>
      </c>
      <c r="J50" s="27" t="s">
        <v>365</v>
      </c>
      <c r="K50" s="27" t="s">
        <v>1350</v>
      </c>
      <c r="L50" s="28">
        <v>45771</v>
      </c>
      <c r="M50" s="31">
        <v>10.220000000000001</v>
      </c>
      <c r="N50" s="27" t="s">
        <v>109</v>
      </c>
      <c r="O50" s="27" t="s">
        <v>124</v>
      </c>
      <c r="P50" s="27" t="s">
        <v>117</v>
      </c>
      <c r="Q50" s="27" t="s">
        <v>1351</v>
      </c>
    </row>
    <row r="51" spans="1:17" x14ac:dyDescent="0.2">
      <c r="A51" s="27" t="s">
        <v>104</v>
      </c>
      <c r="B51" s="27" t="s">
        <v>31</v>
      </c>
      <c r="C51" s="27"/>
      <c r="D51" s="30">
        <v>45771</v>
      </c>
      <c r="E51" s="27" t="s">
        <v>1277</v>
      </c>
      <c r="F51" s="27" t="s">
        <v>1352</v>
      </c>
      <c r="G51" s="27" t="s">
        <v>78</v>
      </c>
      <c r="H51" s="27" t="s">
        <v>79</v>
      </c>
      <c r="K51" s="27" t="s">
        <v>1353</v>
      </c>
      <c r="L51" s="28">
        <v>45771</v>
      </c>
      <c r="M51" s="31">
        <v>-41.5</v>
      </c>
      <c r="N51" s="27" t="s">
        <v>109</v>
      </c>
      <c r="O51" s="27" t="s">
        <v>124</v>
      </c>
      <c r="Q51" s="27" t="s">
        <v>1354</v>
      </c>
    </row>
    <row r="52" spans="1:17" x14ac:dyDescent="0.2">
      <c r="A52" s="27" t="s">
        <v>104</v>
      </c>
      <c r="B52" s="27" t="s">
        <v>28</v>
      </c>
      <c r="C52" s="27"/>
      <c r="D52" s="30">
        <v>45771</v>
      </c>
      <c r="E52" s="27" t="s">
        <v>1277</v>
      </c>
      <c r="F52" s="27" t="s">
        <v>1355</v>
      </c>
      <c r="G52" s="27" t="s">
        <v>29</v>
      </c>
      <c r="H52" s="27" t="s">
        <v>30</v>
      </c>
      <c r="I52" s="27" t="s">
        <v>152</v>
      </c>
      <c r="J52" s="27" t="s">
        <v>153</v>
      </c>
      <c r="K52" s="27" t="s">
        <v>1356</v>
      </c>
      <c r="L52" s="28">
        <v>45771</v>
      </c>
      <c r="M52" s="31">
        <v>-500</v>
      </c>
      <c r="N52" s="27" t="s">
        <v>109</v>
      </c>
      <c r="O52" s="27" t="s">
        <v>124</v>
      </c>
      <c r="P52" s="27" t="s">
        <v>117</v>
      </c>
      <c r="Q52" s="27" t="s">
        <v>1356</v>
      </c>
    </row>
    <row r="53" spans="1:17" x14ac:dyDescent="0.2">
      <c r="A53" s="27" t="s">
        <v>104</v>
      </c>
      <c r="B53" s="27" t="s">
        <v>52</v>
      </c>
      <c r="C53" s="27"/>
      <c r="D53" s="30">
        <v>45772</v>
      </c>
      <c r="E53" s="27" t="s">
        <v>1277</v>
      </c>
      <c r="F53" s="27" t="s">
        <v>1345</v>
      </c>
      <c r="G53" s="27" t="s">
        <v>61</v>
      </c>
      <c r="H53" s="27" t="s">
        <v>1346</v>
      </c>
      <c r="K53" s="27" t="s">
        <v>1347</v>
      </c>
      <c r="L53" s="28">
        <v>45772</v>
      </c>
      <c r="M53" s="31">
        <v>-32</v>
      </c>
      <c r="N53" s="27" t="s">
        <v>109</v>
      </c>
      <c r="O53" s="27" t="s">
        <v>124</v>
      </c>
      <c r="Q53" s="27" t="s">
        <v>1348</v>
      </c>
    </row>
    <row r="54" spans="1:17" x14ac:dyDescent="0.2">
      <c r="A54" s="27" t="s">
        <v>104</v>
      </c>
      <c r="B54" s="27" t="s">
        <v>5</v>
      </c>
      <c r="C54" s="29" t="s">
        <v>1593</v>
      </c>
      <c r="D54" s="30">
        <v>45775</v>
      </c>
      <c r="E54" s="27" t="s">
        <v>1277</v>
      </c>
      <c r="F54" s="27" t="s">
        <v>1342</v>
      </c>
      <c r="G54" s="27" t="s">
        <v>1303</v>
      </c>
      <c r="H54" s="27" t="s">
        <v>1304</v>
      </c>
      <c r="I54" s="27" t="s">
        <v>1305</v>
      </c>
      <c r="J54" s="27" t="s">
        <v>365</v>
      </c>
      <c r="K54" s="27" t="s">
        <v>1343</v>
      </c>
      <c r="L54" s="28">
        <v>45772</v>
      </c>
      <c r="M54" s="31">
        <v>35</v>
      </c>
      <c r="N54" s="27" t="s">
        <v>109</v>
      </c>
      <c r="O54" s="27" t="s">
        <v>124</v>
      </c>
      <c r="P54" s="27" t="s">
        <v>117</v>
      </c>
      <c r="Q54" s="27" t="s">
        <v>1344</v>
      </c>
    </row>
    <row r="55" spans="1:17" x14ac:dyDescent="0.2">
      <c r="A55" s="27" t="s">
        <v>104</v>
      </c>
      <c r="B55" s="27" t="s">
        <v>13</v>
      </c>
      <c r="C55" s="27"/>
      <c r="D55" s="30">
        <v>45775</v>
      </c>
      <c r="E55" s="27" t="s">
        <v>1277</v>
      </c>
      <c r="F55" s="27" t="s">
        <v>1340</v>
      </c>
      <c r="G55" s="27" t="s">
        <v>14</v>
      </c>
      <c r="H55" s="27" t="s">
        <v>53</v>
      </c>
      <c r="K55" s="27" t="s">
        <v>1341</v>
      </c>
      <c r="L55" s="28">
        <v>45775</v>
      </c>
      <c r="M55" s="31">
        <v>-1400</v>
      </c>
      <c r="N55" s="27" t="s">
        <v>109</v>
      </c>
      <c r="O55" s="27" t="s">
        <v>124</v>
      </c>
      <c r="Q55" s="27" t="s">
        <v>1214</v>
      </c>
    </row>
    <row r="56" spans="1:17" x14ac:dyDescent="0.2">
      <c r="A56" s="27" t="s">
        <v>104</v>
      </c>
      <c r="B56" s="27" t="s">
        <v>56</v>
      </c>
      <c r="C56" s="27"/>
      <c r="D56" s="30">
        <v>45776</v>
      </c>
      <c r="E56" s="27" t="s">
        <v>1277</v>
      </c>
      <c r="F56" s="27" t="s">
        <v>1337</v>
      </c>
      <c r="H56" s="27" t="s">
        <v>1338</v>
      </c>
      <c r="J56" s="27" t="s">
        <v>1168</v>
      </c>
      <c r="K56" s="27" t="s">
        <v>1339</v>
      </c>
      <c r="L56" s="28">
        <v>45776</v>
      </c>
      <c r="M56" s="31">
        <v>-11.01</v>
      </c>
      <c r="N56" s="27" t="s">
        <v>109</v>
      </c>
      <c r="P56" s="27" t="s">
        <v>117</v>
      </c>
      <c r="Q56" s="27" t="s">
        <v>1339</v>
      </c>
    </row>
    <row r="57" spans="1:17" x14ac:dyDescent="0.2">
      <c r="A57" s="27" t="s">
        <v>104</v>
      </c>
      <c r="B57" s="27" t="s">
        <v>45</v>
      </c>
      <c r="C57" s="27"/>
      <c r="D57" s="30">
        <v>45777</v>
      </c>
      <c r="E57" s="27" t="s">
        <v>1277</v>
      </c>
      <c r="F57" s="27" t="s">
        <v>1334</v>
      </c>
      <c r="G57" s="27" t="s">
        <v>46</v>
      </c>
      <c r="H57" s="27" t="s">
        <v>47</v>
      </c>
      <c r="K57" s="27" t="s">
        <v>1335</v>
      </c>
      <c r="L57" s="28">
        <v>45777</v>
      </c>
      <c r="M57" s="31">
        <v>-825.22</v>
      </c>
      <c r="N57" s="27" t="s">
        <v>109</v>
      </c>
      <c r="O57" s="27" t="s">
        <v>244</v>
      </c>
      <c r="Q57" s="27" t="s">
        <v>1336</v>
      </c>
    </row>
    <row r="58" spans="1:17" x14ac:dyDescent="0.2">
      <c r="A58" s="27" t="s">
        <v>104</v>
      </c>
      <c r="B58" s="27" t="s">
        <v>5</v>
      </c>
      <c r="C58" s="29" t="s">
        <v>1593</v>
      </c>
      <c r="D58" s="30">
        <v>45779</v>
      </c>
      <c r="E58" s="27" t="s">
        <v>1277</v>
      </c>
      <c r="F58" s="27" t="s">
        <v>1327</v>
      </c>
      <c r="G58" s="27" t="s">
        <v>1328</v>
      </c>
      <c r="H58" s="27" t="s">
        <v>1329</v>
      </c>
      <c r="I58" s="27" t="s">
        <v>1330</v>
      </c>
      <c r="J58" s="27" t="s">
        <v>1331</v>
      </c>
      <c r="K58" s="27" t="s">
        <v>1332</v>
      </c>
      <c r="L58" s="28">
        <v>45779</v>
      </c>
      <c r="M58" s="31">
        <v>78</v>
      </c>
      <c r="N58" s="27" t="s">
        <v>109</v>
      </c>
      <c r="O58" s="27" t="s">
        <v>186</v>
      </c>
      <c r="P58" s="27" t="s">
        <v>117</v>
      </c>
      <c r="Q58" s="27" t="s">
        <v>1333</v>
      </c>
    </row>
    <row r="59" spans="1:17" x14ac:dyDescent="0.2">
      <c r="A59" s="27" t="s">
        <v>104</v>
      </c>
      <c r="B59" s="27" t="s">
        <v>5</v>
      </c>
      <c r="C59" s="29" t="s">
        <v>1593</v>
      </c>
      <c r="D59" s="30">
        <v>45782</v>
      </c>
      <c r="E59" s="27" t="s">
        <v>1277</v>
      </c>
      <c r="F59" s="27" t="s">
        <v>1308</v>
      </c>
      <c r="G59" s="27" t="s">
        <v>1309</v>
      </c>
      <c r="H59" s="27" t="s">
        <v>1310</v>
      </c>
      <c r="I59" s="27" t="s">
        <v>1311</v>
      </c>
      <c r="J59" s="27" t="s">
        <v>1312</v>
      </c>
      <c r="K59" s="27" t="s">
        <v>1313</v>
      </c>
      <c r="L59" s="28">
        <v>45779</v>
      </c>
      <c r="M59" s="31">
        <v>92</v>
      </c>
      <c r="N59" s="27" t="s">
        <v>109</v>
      </c>
      <c r="O59" s="27" t="s">
        <v>244</v>
      </c>
      <c r="P59" s="27" t="s">
        <v>117</v>
      </c>
      <c r="Q59" s="27" t="s">
        <v>1314</v>
      </c>
    </row>
    <row r="60" spans="1:17" x14ac:dyDescent="0.2">
      <c r="A60" s="27" t="s">
        <v>104</v>
      </c>
      <c r="B60" s="27" t="s">
        <v>5</v>
      </c>
      <c r="C60" s="29" t="s">
        <v>1593</v>
      </c>
      <c r="D60" s="30">
        <v>45782</v>
      </c>
      <c r="E60" s="27" t="s">
        <v>1277</v>
      </c>
      <c r="F60" s="27" t="s">
        <v>1295</v>
      </c>
      <c r="G60" s="27" t="s">
        <v>1296</v>
      </c>
      <c r="H60" s="27" t="s">
        <v>1297</v>
      </c>
      <c r="I60" s="27" t="s">
        <v>1298</v>
      </c>
      <c r="J60" s="27" t="s">
        <v>1299</v>
      </c>
      <c r="K60" s="27" t="s">
        <v>1300</v>
      </c>
      <c r="L60" s="28">
        <v>45780</v>
      </c>
      <c r="M60" s="31">
        <v>77</v>
      </c>
      <c r="N60" s="27" t="s">
        <v>109</v>
      </c>
      <c r="O60" s="27" t="s">
        <v>244</v>
      </c>
      <c r="P60" s="27" t="s">
        <v>117</v>
      </c>
      <c r="Q60" s="27" t="s">
        <v>1301</v>
      </c>
    </row>
    <row r="61" spans="1:17" x14ac:dyDescent="0.2">
      <c r="A61" s="27" t="s">
        <v>104</v>
      </c>
      <c r="B61" s="27" t="s">
        <v>5</v>
      </c>
      <c r="C61" s="29"/>
      <c r="D61" s="30">
        <v>45782</v>
      </c>
      <c r="E61" s="27" t="s">
        <v>1277</v>
      </c>
      <c r="F61" s="27" t="s">
        <v>1320</v>
      </c>
      <c r="G61" s="27" t="s">
        <v>1321</v>
      </c>
      <c r="H61" s="27" t="s">
        <v>1322</v>
      </c>
      <c r="I61" s="27" t="s">
        <v>1323</v>
      </c>
      <c r="J61" s="27" t="s">
        <v>1324</v>
      </c>
      <c r="K61" s="27" t="s">
        <v>1325</v>
      </c>
      <c r="L61" s="28">
        <v>45779</v>
      </c>
      <c r="M61" s="31">
        <v>40</v>
      </c>
      <c r="N61" s="27" t="s">
        <v>109</v>
      </c>
      <c r="O61" s="27" t="s">
        <v>244</v>
      </c>
      <c r="P61" s="27" t="s">
        <v>117</v>
      </c>
      <c r="Q61" s="27" t="s">
        <v>1326</v>
      </c>
    </row>
    <row r="62" spans="1:17" x14ac:dyDescent="0.2">
      <c r="A62" s="27" t="s">
        <v>104</v>
      </c>
      <c r="B62" s="27" t="s">
        <v>5</v>
      </c>
      <c r="C62" s="29" t="s">
        <v>1593</v>
      </c>
      <c r="D62" s="30">
        <v>45782</v>
      </c>
      <c r="E62" s="27" t="s">
        <v>1277</v>
      </c>
      <c r="F62" s="27" t="s">
        <v>1283</v>
      </c>
      <c r="G62" s="27" t="s">
        <v>1284</v>
      </c>
      <c r="H62" s="27" t="s">
        <v>1285</v>
      </c>
      <c r="I62" s="27" t="s">
        <v>1286</v>
      </c>
      <c r="J62" s="27" t="s">
        <v>348</v>
      </c>
      <c r="K62" s="27" t="s">
        <v>1287</v>
      </c>
      <c r="L62" s="28">
        <v>45780</v>
      </c>
      <c r="M62" s="31">
        <v>28</v>
      </c>
      <c r="N62" s="27" t="s">
        <v>109</v>
      </c>
      <c r="O62" s="27" t="s">
        <v>186</v>
      </c>
      <c r="P62" s="27" t="s">
        <v>117</v>
      </c>
      <c r="Q62" s="27" t="s">
        <v>1288</v>
      </c>
    </row>
    <row r="63" spans="1:17" x14ac:dyDescent="0.2">
      <c r="A63" s="27" t="s">
        <v>104</v>
      </c>
      <c r="B63" s="27" t="s">
        <v>5</v>
      </c>
      <c r="C63" s="29" t="s">
        <v>1593</v>
      </c>
      <c r="D63" s="30">
        <v>45782</v>
      </c>
      <c r="E63" s="27" t="s">
        <v>1277</v>
      </c>
      <c r="F63" s="27" t="s">
        <v>1289</v>
      </c>
      <c r="G63" s="27" t="s">
        <v>1290</v>
      </c>
      <c r="H63" s="27" t="s">
        <v>1291</v>
      </c>
      <c r="I63" s="27" t="s">
        <v>1292</v>
      </c>
      <c r="J63" s="27" t="s">
        <v>136</v>
      </c>
      <c r="K63" s="27" t="s">
        <v>1293</v>
      </c>
      <c r="L63" s="28">
        <v>45780</v>
      </c>
      <c r="M63" s="31">
        <v>18</v>
      </c>
      <c r="N63" s="27" t="s">
        <v>109</v>
      </c>
      <c r="O63" s="27" t="s">
        <v>124</v>
      </c>
      <c r="P63" s="27" t="s">
        <v>117</v>
      </c>
      <c r="Q63" s="27" t="s">
        <v>1294</v>
      </c>
    </row>
    <row r="64" spans="1:17" x14ac:dyDescent="0.2">
      <c r="A64" s="27" t="s">
        <v>104</v>
      </c>
      <c r="B64" s="27" t="s">
        <v>5</v>
      </c>
      <c r="C64" s="29" t="s">
        <v>1593</v>
      </c>
      <c r="D64" s="30">
        <v>45782</v>
      </c>
      <c r="E64" s="27" t="s">
        <v>1277</v>
      </c>
      <c r="F64" s="27" t="s">
        <v>1302</v>
      </c>
      <c r="G64" s="27" t="s">
        <v>1303</v>
      </c>
      <c r="H64" s="27" t="s">
        <v>1304</v>
      </c>
      <c r="I64" s="27" t="s">
        <v>1305</v>
      </c>
      <c r="J64" s="27" t="s">
        <v>365</v>
      </c>
      <c r="K64" s="27" t="s">
        <v>1306</v>
      </c>
      <c r="L64" s="28">
        <v>45779</v>
      </c>
      <c r="M64" s="31">
        <v>14</v>
      </c>
      <c r="N64" s="27" t="s">
        <v>109</v>
      </c>
      <c r="O64" s="27" t="s">
        <v>124</v>
      </c>
      <c r="P64" s="27" t="s">
        <v>117</v>
      </c>
      <c r="Q64" s="27" t="s">
        <v>1307</v>
      </c>
    </row>
    <row r="65" spans="1:17" x14ac:dyDescent="0.2">
      <c r="A65" s="27" t="s">
        <v>104</v>
      </c>
      <c r="B65" s="27" t="s">
        <v>56</v>
      </c>
      <c r="C65" s="27"/>
      <c r="D65" s="30">
        <v>45782</v>
      </c>
      <c r="E65" s="27" t="s">
        <v>1277</v>
      </c>
      <c r="F65" s="27" t="s">
        <v>1278</v>
      </c>
      <c r="G65" s="27" t="s">
        <v>1279</v>
      </c>
      <c r="H65" s="27" t="s">
        <v>1280</v>
      </c>
      <c r="K65" s="27" t="s">
        <v>1281</v>
      </c>
      <c r="L65" s="28">
        <v>45782</v>
      </c>
      <c r="M65" s="31">
        <v>-49</v>
      </c>
      <c r="N65" s="27" t="s">
        <v>109</v>
      </c>
      <c r="O65" s="27" t="s">
        <v>124</v>
      </c>
      <c r="Q65" s="27" t="s">
        <v>1282</v>
      </c>
    </row>
    <row r="66" spans="1:17" x14ac:dyDescent="0.2">
      <c r="A66" s="27" t="s">
        <v>104</v>
      </c>
      <c r="B66" s="27" t="s">
        <v>5</v>
      </c>
      <c r="C66" s="29" t="s">
        <v>1593</v>
      </c>
      <c r="D66" s="30">
        <v>45782</v>
      </c>
      <c r="E66" s="27" t="s">
        <v>1277</v>
      </c>
      <c r="F66" s="27" t="s">
        <v>1315</v>
      </c>
      <c r="G66" s="27" t="s">
        <v>1316</v>
      </c>
      <c r="H66" s="27" t="s">
        <v>1317</v>
      </c>
      <c r="I66" s="27" t="s">
        <v>1155</v>
      </c>
      <c r="J66" s="27" t="s">
        <v>1156</v>
      </c>
      <c r="K66" s="27" t="s">
        <v>1318</v>
      </c>
      <c r="L66" s="28">
        <v>45779</v>
      </c>
      <c r="M66" s="31">
        <v>9</v>
      </c>
      <c r="N66" s="27" t="s">
        <v>109</v>
      </c>
      <c r="O66" s="27" t="s">
        <v>186</v>
      </c>
      <c r="P66" s="27" t="s">
        <v>117</v>
      </c>
      <c r="Q66" s="27" t="s">
        <v>1319</v>
      </c>
    </row>
    <row r="67" spans="1:17" x14ac:dyDescent="0.2">
      <c r="A67" s="27" t="s">
        <v>104</v>
      </c>
      <c r="B67" s="27" t="s">
        <v>5</v>
      </c>
      <c r="C67" s="29" t="s">
        <v>1593</v>
      </c>
      <c r="D67" s="30">
        <v>45783</v>
      </c>
      <c r="E67" s="27" t="s">
        <v>1101</v>
      </c>
      <c r="F67" s="27" t="s">
        <v>1259</v>
      </c>
      <c r="G67" s="27" t="s">
        <v>10</v>
      </c>
      <c r="H67" s="27" t="s">
        <v>1260</v>
      </c>
      <c r="I67" s="27" t="s">
        <v>1261</v>
      </c>
      <c r="J67" s="27" t="s">
        <v>1262</v>
      </c>
      <c r="K67" s="27" t="s">
        <v>1581</v>
      </c>
      <c r="L67" s="28">
        <v>45783</v>
      </c>
      <c r="M67" s="31">
        <v>4414.1499999999996</v>
      </c>
      <c r="N67" s="27" t="s">
        <v>109</v>
      </c>
      <c r="O67" s="27" t="s">
        <v>124</v>
      </c>
      <c r="P67" s="27" t="s">
        <v>117</v>
      </c>
      <c r="Q67" s="27" t="s">
        <v>1582</v>
      </c>
    </row>
    <row r="68" spans="1:17" x14ac:dyDescent="0.2">
      <c r="A68" s="27" t="s">
        <v>104</v>
      </c>
      <c r="B68" s="27" t="s">
        <v>5</v>
      </c>
      <c r="C68" s="29" t="s">
        <v>1593</v>
      </c>
      <c r="D68" s="30">
        <v>45783</v>
      </c>
      <c r="E68" s="27" t="s">
        <v>1101</v>
      </c>
      <c r="F68" s="27" t="s">
        <v>1269</v>
      </c>
      <c r="G68" s="27" t="s">
        <v>34</v>
      </c>
      <c r="H68" s="27" t="s">
        <v>1270</v>
      </c>
      <c r="I68" s="27" t="s">
        <v>1271</v>
      </c>
      <c r="J68" s="27" t="s">
        <v>175</v>
      </c>
      <c r="K68" s="27" t="s">
        <v>1272</v>
      </c>
      <c r="L68" s="28">
        <v>45783</v>
      </c>
      <c r="M68" s="31">
        <v>225.02</v>
      </c>
      <c r="N68" s="27" t="s">
        <v>109</v>
      </c>
      <c r="O68" s="27" t="s">
        <v>143</v>
      </c>
      <c r="P68" s="27" t="s">
        <v>117</v>
      </c>
      <c r="Q68" s="27" t="s">
        <v>1273</v>
      </c>
    </row>
    <row r="69" spans="1:17" x14ac:dyDescent="0.2">
      <c r="A69" s="27" t="s">
        <v>104</v>
      </c>
      <c r="B69" s="27" t="s">
        <v>5</v>
      </c>
      <c r="C69" s="29" t="s">
        <v>1593</v>
      </c>
      <c r="D69" s="30">
        <v>45783</v>
      </c>
      <c r="E69" s="27" t="s">
        <v>1101</v>
      </c>
      <c r="F69" s="27" t="s">
        <v>1256</v>
      </c>
      <c r="G69" s="27" t="s">
        <v>15</v>
      </c>
      <c r="H69" s="27" t="s">
        <v>16</v>
      </c>
      <c r="I69" s="27" t="s">
        <v>196</v>
      </c>
      <c r="J69" s="27" t="s">
        <v>197</v>
      </c>
      <c r="K69" s="27" t="s">
        <v>1257</v>
      </c>
      <c r="L69" s="28">
        <v>45783</v>
      </c>
      <c r="M69" s="31">
        <v>180.92</v>
      </c>
      <c r="N69" s="27" t="s">
        <v>109</v>
      </c>
      <c r="O69" s="27" t="s">
        <v>199</v>
      </c>
      <c r="P69" s="27" t="s">
        <v>117</v>
      </c>
      <c r="Q69" s="27" t="s">
        <v>1258</v>
      </c>
    </row>
    <row r="70" spans="1:17" x14ac:dyDescent="0.2">
      <c r="A70" s="27" t="s">
        <v>104</v>
      </c>
      <c r="B70" s="27" t="s">
        <v>5</v>
      </c>
      <c r="C70" s="29" t="s">
        <v>1593</v>
      </c>
      <c r="D70" s="30">
        <v>45783</v>
      </c>
      <c r="E70" s="27" t="s">
        <v>1101</v>
      </c>
      <c r="F70" s="27" t="s">
        <v>1274</v>
      </c>
      <c r="G70" s="27" t="s">
        <v>967</v>
      </c>
      <c r="H70" s="27" t="s">
        <v>968</v>
      </c>
      <c r="I70" s="27" t="s">
        <v>969</v>
      </c>
      <c r="J70" s="27" t="s">
        <v>159</v>
      </c>
      <c r="K70" s="27" t="s">
        <v>1275</v>
      </c>
      <c r="L70" s="28">
        <v>45782</v>
      </c>
      <c r="M70" s="31">
        <v>104</v>
      </c>
      <c r="N70" s="27" t="s">
        <v>109</v>
      </c>
      <c r="O70" s="27" t="s">
        <v>244</v>
      </c>
      <c r="P70" s="27" t="s">
        <v>117</v>
      </c>
      <c r="Q70" s="27" t="s">
        <v>1276</v>
      </c>
    </row>
    <row r="71" spans="1:17" x14ac:dyDescent="0.2">
      <c r="A71" s="27" t="s">
        <v>104</v>
      </c>
      <c r="B71" s="27" t="s">
        <v>5</v>
      </c>
      <c r="C71" s="29" t="s">
        <v>1593</v>
      </c>
      <c r="D71" s="30">
        <v>45783</v>
      </c>
      <c r="E71" s="27" t="s">
        <v>1101</v>
      </c>
      <c r="F71" s="27" t="s">
        <v>1263</v>
      </c>
      <c r="G71" s="27" t="s">
        <v>1264</v>
      </c>
      <c r="H71" s="27" t="s">
        <v>1265</v>
      </c>
      <c r="I71" s="27" t="s">
        <v>1266</v>
      </c>
      <c r="J71" s="27" t="s">
        <v>359</v>
      </c>
      <c r="K71" s="27" t="s">
        <v>1267</v>
      </c>
      <c r="L71" s="28">
        <v>45783</v>
      </c>
      <c r="M71" s="31">
        <v>71</v>
      </c>
      <c r="N71" s="27" t="s">
        <v>109</v>
      </c>
      <c r="O71" s="27" t="s">
        <v>143</v>
      </c>
      <c r="P71" s="27" t="s">
        <v>117</v>
      </c>
      <c r="Q71" s="27" t="s">
        <v>1268</v>
      </c>
    </row>
    <row r="72" spans="1:17" x14ac:dyDescent="0.2">
      <c r="A72" s="27" t="s">
        <v>104</v>
      </c>
      <c r="B72" s="27" t="s">
        <v>5</v>
      </c>
      <c r="C72" s="29" t="s">
        <v>1593</v>
      </c>
      <c r="D72" s="30">
        <v>45784</v>
      </c>
      <c r="E72" s="27" t="s">
        <v>1101</v>
      </c>
      <c r="F72" s="27" t="s">
        <v>1246</v>
      </c>
      <c r="G72" s="27" t="s">
        <v>1247</v>
      </c>
      <c r="H72" s="27" t="s">
        <v>1248</v>
      </c>
      <c r="I72" s="27" t="s">
        <v>1579</v>
      </c>
      <c r="J72" s="27" t="s">
        <v>1249</v>
      </c>
      <c r="K72" s="27" t="s">
        <v>1250</v>
      </c>
      <c r="L72" s="28">
        <v>45784</v>
      </c>
      <c r="M72" s="31">
        <v>68</v>
      </c>
      <c r="N72" s="27" t="s">
        <v>109</v>
      </c>
      <c r="O72" s="27" t="s">
        <v>218</v>
      </c>
      <c r="P72" s="27" t="s">
        <v>117</v>
      </c>
      <c r="Q72" s="27" t="s">
        <v>1251</v>
      </c>
    </row>
    <row r="73" spans="1:17" x14ac:dyDescent="0.2">
      <c r="A73" s="27" t="s">
        <v>104</v>
      </c>
      <c r="B73" s="27" t="s">
        <v>5</v>
      </c>
      <c r="C73" s="29"/>
      <c r="D73" s="30">
        <v>45784</v>
      </c>
      <c r="E73" s="27" t="s">
        <v>1101</v>
      </c>
      <c r="F73" s="27" t="s">
        <v>1237</v>
      </c>
      <c r="G73" s="27" t="s">
        <v>889</v>
      </c>
      <c r="H73" s="27" t="s">
        <v>890</v>
      </c>
      <c r="I73" s="27" t="s">
        <v>891</v>
      </c>
      <c r="J73" s="27" t="s">
        <v>892</v>
      </c>
      <c r="K73" s="27" t="s">
        <v>1238</v>
      </c>
      <c r="L73" s="28">
        <v>45784</v>
      </c>
      <c r="M73" s="31">
        <v>40</v>
      </c>
      <c r="N73" s="27" t="s">
        <v>109</v>
      </c>
      <c r="O73" s="27" t="s">
        <v>199</v>
      </c>
      <c r="P73" s="27" t="s">
        <v>117</v>
      </c>
      <c r="Q73" s="27" t="s">
        <v>1239</v>
      </c>
    </row>
    <row r="74" spans="1:17" x14ac:dyDescent="0.2">
      <c r="A74" s="27" t="s">
        <v>104</v>
      </c>
      <c r="B74" s="27" t="s">
        <v>32</v>
      </c>
      <c r="C74" s="27"/>
      <c r="D74" s="30">
        <v>45784</v>
      </c>
      <c r="E74" s="27" t="s">
        <v>1101</v>
      </c>
      <c r="F74" s="27" t="s">
        <v>1240</v>
      </c>
      <c r="H74" s="27" t="s">
        <v>1241</v>
      </c>
      <c r="J74" s="27" t="s">
        <v>167</v>
      </c>
      <c r="K74" s="27" t="s">
        <v>1242</v>
      </c>
      <c r="L74" s="28">
        <v>45784</v>
      </c>
      <c r="M74" s="31">
        <v>-11</v>
      </c>
      <c r="N74" s="27" t="s">
        <v>109</v>
      </c>
      <c r="P74" s="27" t="s">
        <v>117</v>
      </c>
      <c r="Q74" s="27" t="s">
        <v>1242</v>
      </c>
    </row>
    <row r="75" spans="1:17" x14ac:dyDescent="0.2">
      <c r="A75" s="27" t="s">
        <v>104</v>
      </c>
      <c r="B75" s="27" t="s">
        <v>37</v>
      </c>
      <c r="C75" s="27"/>
      <c r="D75" s="30">
        <v>45784</v>
      </c>
      <c r="E75" s="27" t="s">
        <v>1101</v>
      </c>
      <c r="F75" s="27" t="s">
        <v>1243</v>
      </c>
      <c r="G75" s="27" t="s">
        <v>14</v>
      </c>
      <c r="H75" s="27" t="s">
        <v>53</v>
      </c>
      <c r="K75" s="27" t="s">
        <v>1244</v>
      </c>
      <c r="L75" s="28">
        <v>45784</v>
      </c>
      <c r="M75" s="31">
        <v>-84.8</v>
      </c>
      <c r="N75" s="27" t="s">
        <v>109</v>
      </c>
      <c r="O75" s="27" t="s">
        <v>124</v>
      </c>
      <c r="Q75" s="27" t="s">
        <v>1245</v>
      </c>
    </row>
    <row r="76" spans="1:17" x14ac:dyDescent="0.2">
      <c r="A76" s="27" t="s">
        <v>104</v>
      </c>
      <c r="B76" s="27" t="s">
        <v>12</v>
      </c>
      <c r="C76" s="27"/>
      <c r="D76" s="30">
        <v>45784</v>
      </c>
      <c r="E76" s="27" t="s">
        <v>1101</v>
      </c>
      <c r="F76" s="27" t="s">
        <v>1252</v>
      </c>
      <c r="K76" s="27" t="s">
        <v>1580</v>
      </c>
      <c r="L76" s="28">
        <v>45778</v>
      </c>
      <c r="M76" s="31">
        <v>-7.5</v>
      </c>
      <c r="N76" s="27" t="s">
        <v>109</v>
      </c>
      <c r="Q76" s="27" t="s">
        <v>1580</v>
      </c>
    </row>
    <row r="77" spans="1:17" x14ac:dyDescent="0.2">
      <c r="A77" s="27" t="s">
        <v>104</v>
      </c>
      <c r="B77" s="27" t="s">
        <v>45</v>
      </c>
      <c r="C77" s="27"/>
      <c r="D77" s="30">
        <v>45784</v>
      </c>
      <c r="E77" s="27" t="s">
        <v>1101</v>
      </c>
      <c r="F77" s="27" t="s">
        <v>1253</v>
      </c>
      <c r="G77" s="27" t="s">
        <v>14</v>
      </c>
      <c r="H77" s="27" t="s">
        <v>53</v>
      </c>
      <c r="K77" s="27" t="s">
        <v>1254</v>
      </c>
      <c r="L77" s="28">
        <v>45783</v>
      </c>
      <c r="M77" s="31">
        <v>-77.989999999999995</v>
      </c>
      <c r="N77" s="27" t="s">
        <v>109</v>
      </c>
      <c r="O77" s="27" t="s">
        <v>124</v>
      </c>
      <c r="Q77" s="27" t="s">
        <v>1255</v>
      </c>
    </row>
    <row r="78" spans="1:17" x14ac:dyDescent="0.2">
      <c r="A78" s="27" t="s">
        <v>104</v>
      </c>
      <c r="B78" s="27" t="s">
        <v>5</v>
      </c>
      <c r="C78" s="29" t="s">
        <v>1593</v>
      </c>
      <c r="D78" s="30">
        <v>45785</v>
      </c>
      <c r="E78" s="27" t="s">
        <v>1101</v>
      </c>
      <c r="F78" s="27" t="s">
        <v>1234</v>
      </c>
      <c r="G78" s="27" t="s">
        <v>19</v>
      </c>
      <c r="H78" s="27" t="s">
        <v>75</v>
      </c>
      <c r="I78" s="27" t="s">
        <v>529</v>
      </c>
      <c r="J78" s="27" t="s">
        <v>530</v>
      </c>
      <c r="K78" s="27" t="s">
        <v>1235</v>
      </c>
      <c r="L78" s="28">
        <v>45785</v>
      </c>
      <c r="M78" s="31">
        <v>991.79</v>
      </c>
      <c r="N78" s="27" t="s">
        <v>109</v>
      </c>
      <c r="O78" s="27" t="s">
        <v>143</v>
      </c>
      <c r="P78" s="27" t="s">
        <v>117</v>
      </c>
      <c r="Q78" s="27" t="s">
        <v>1236</v>
      </c>
    </row>
    <row r="79" spans="1:17" x14ac:dyDescent="0.2">
      <c r="A79" s="27" t="s">
        <v>104</v>
      </c>
      <c r="B79" s="27" t="s">
        <v>6</v>
      </c>
      <c r="C79" s="27"/>
      <c r="D79" s="30">
        <v>45785</v>
      </c>
      <c r="E79" s="27" t="s">
        <v>1101</v>
      </c>
      <c r="F79" s="27" t="s">
        <v>1231</v>
      </c>
      <c r="G79" s="27" t="s">
        <v>39</v>
      </c>
      <c r="H79" s="27" t="s">
        <v>40</v>
      </c>
      <c r="K79" s="27" t="s">
        <v>1232</v>
      </c>
      <c r="L79" s="28">
        <v>45785</v>
      </c>
      <c r="M79" s="31">
        <v>-750.01</v>
      </c>
      <c r="N79" s="27" t="s">
        <v>109</v>
      </c>
      <c r="O79" s="27" t="s">
        <v>244</v>
      </c>
      <c r="Q79" s="27" t="s">
        <v>1233</v>
      </c>
    </row>
    <row r="80" spans="1:17" x14ac:dyDescent="0.2">
      <c r="A80" s="27" t="s">
        <v>104</v>
      </c>
      <c r="B80" s="27" t="s">
        <v>5</v>
      </c>
      <c r="C80" s="29" t="s">
        <v>1593</v>
      </c>
      <c r="D80" s="30">
        <v>45785</v>
      </c>
      <c r="E80" s="27" t="s">
        <v>1101</v>
      </c>
      <c r="F80" s="27" t="s">
        <v>1224</v>
      </c>
      <c r="G80" s="27" t="s">
        <v>1225</v>
      </c>
      <c r="H80" s="27" t="s">
        <v>1226</v>
      </c>
      <c r="I80" s="27" t="s">
        <v>1227</v>
      </c>
      <c r="J80" s="27" t="s">
        <v>242</v>
      </c>
      <c r="K80" s="27" t="s">
        <v>1228</v>
      </c>
      <c r="L80" s="28">
        <v>45785</v>
      </c>
      <c r="M80" s="31">
        <v>7</v>
      </c>
      <c r="N80" s="27" t="s">
        <v>109</v>
      </c>
      <c r="O80" s="27" t="s">
        <v>1229</v>
      </c>
      <c r="P80" s="27" t="s">
        <v>117</v>
      </c>
      <c r="Q80" s="27" t="s">
        <v>1230</v>
      </c>
    </row>
    <row r="81" spans="1:17" x14ac:dyDescent="0.2">
      <c r="A81" s="27" t="s">
        <v>104</v>
      </c>
      <c r="B81" s="27" t="s">
        <v>5</v>
      </c>
      <c r="C81" s="29" t="s">
        <v>1593</v>
      </c>
      <c r="D81" s="30">
        <v>45789</v>
      </c>
      <c r="E81" s="27" t="s">
        <v>1101</v>
      </c>
      <c r="F81" s="27" t="s">
        <v>1218</v>
      </c>
      <c r="G81" s="27" t="s">
        <v>1219</v>
      </c>
      <c r="H81" s="27" t="s">
        <v>1220</v>
      </c>
      <c r="I81" s="27" t="s">
        <v>1221</v>
      </c>
      <c r="J81" s="27" t="s">
        <v>365</v>
      </c>
      <c r="K81" s="27" t="s">
        <v>1222</v>
      </c>
      <c r="L81" s="28">
        <v>45787</v>
      </c>
      <c r="M81" s="31">
        <v>468</v>
      </c>
      <c r="N81" s="27" t="s">
        <v>109</v>
      </c>
      <c r="O81" s="27" t="s">
        <v>124</v>
      </c>
      <c r="P81" s="27" t="s">
        <v>117</v>
      </c>
      <c r="Q81" s="27" t="s">
        <v>1223</v>
      </c>
    </row>
    <row r="82" spans="1:17" x14ac:dyDescent="0.2">
      <c r="A82" s="27" t="s">
        <v>104</v>
      </c>
      <c r="B82" s="27" t="s">
        <v>41</v>
      </c>
      <c r="C82" s="27"/>
      <c r="D82" s="30">
        <v>45791</v>
      </c>
      <c r="E82" s="27" t="s">
        <v>1101</v>
      </c>
      <c r="F82" s="27" t="s">
        <v>1215</v>
      </c>
      <c r="G82" s="27" t="s">
        <v>42</v>
      </c>
      <c r="H82" s="27" t="s">
        <v>43</v>
      </c>
      <c r="I82" s="27" t="s">
        <v>427</v>
      </c>
      <c r="J82" s="27" t="s">
        <v>153</v>
      </c>
      <c r="K82" s="27" t="s">
        <v>1216</v>
      </c>
      <c r="L82" s="28">
        <v>45791</v>
      </c>
      <c r="M82" s="31">
        <v>-7.8</v>
      </c>
      <c r="N82" s="27" t="s">
        <v>109</v>
      </c>
      <c r="O82" s="27" t="s">
        <v>244</v>
      </c>
      <c r="P82" s="27" t="s">
        <v>117</v>
      </c>
      <c r="Q82" s="27" t="s">
        <v>1217</v>
      </c>
    </row>
    <row r="83" spans="1:17" x14ac:dyDescent="0.2">
      <c r="A83" s="27" t="s">
        <v>104</v>
      </c>
      <c r="B83" s="27" t="s">
        <v>13</v>
      </c>
      <c r="C83" s="27"/>
      <c r="D83" s="30">
        <v>45792</v>
      </c>
      <c r="E83" s="27" t="s">
        <v>1101</v>
      </c>
      <c r="F83" s="27" t="s">
        <v>1212</v>
      </c>
      <c r="G83" s="27" t="s">
        <v>14</v>
      </c>
      <c r="H83" s="27" t="s">
        <v>53</v>
      </c>
      <c r="K83" s="27" t="s">
        <v>1213</v>
      </c>
      <c r="L83" s="28">
        <v>45792</v>
      </c>
      <c r="M83" s="31">
        <v>-1000</v>
      </c>
      <c r="N83" s="27" t="s">
        <v>109</v>
      </c>
      <c r="O83" s="27" t="s">
        <v>124</v>
      </c>
      <c r="Q83" s="27" t="s">
        <v>1214</v>
      </c>
    </row>
    <row r="84" spans="1:17" x14ac:dyDescent="0.2">
      <c r="A84" s="27" t="s">
        <v>104</v>
      </c>
      <c r="B84" s="27" t="s">
        <v>5</v>
      </c>
      <c r="C84" s="29" t="s">
        <v>1593</v>
      </c>
      <c r="D84" s="30">
        <v>45793</v>
      </c>
      <c r="E84" s="27" t="s">
        <v>1101</v>
      </c>
      <c r="F84" s="27" t="s">
        <v>1209</v>
      </c>
      <c r="G84" s="27" t="s">
        <v>44</v>
      </c>
      <c r="H84" s="27" t="s">
        <v>76</v>
      </c>
      <c r="I84" s="27" t="s">
        <v>174</v>
      </c>
      <c r="J84" s="27" t="s">
        <v>175</v>
      </c>
      <c r="K84" s="27" t="s">
        <v>1210</v>
      </c>
      <c r="L84" s="28">
        <v>45793</v>
      </c>
      <c r="M84" s="31">
        <v>89.8</v>
      </c>
      <c r="N84" s="27" t="s">
        <v>109</v>
      </c>
      <c r="O84" s="27" t="s">
        <v>143</v>
      </c>
      <c r="P84" s="27" t="s">
        <v>117</v>
      </c>
      <c r="Q84" s="27" t="s">
        <v>1211</v>
      </c>
    </row>
    <row r="85" spans="1:17" x14ac:dyDescent="0.2">
      <c r="A85" s="27" t="s">
        <v>104</v>
      </c>
      <c r="B85" s="27" t="s">
        <v>5</v>
      </c>
      <c r="C85" s="29" t="s">
        <v>1593</v>
      </c>
      <c r="D85" s="30">
        <v>45797</v>
      </c>
      <c r="E85" s="27" t="s">
        <v>1101</v>
      </c>
      <c r="F85" s="27" t="s">
        <v>1203</v>
      </c>
      <c r="G85" s="27" t="s">
        <v>1204</v>
      </c>
      <c r="H85" s="27" t="s">
        <v>1205</v>
      </c>
      <c r="I85" s="27" t="s">
        <v>1206</v>
      </c>
      <c r="J85" s="27" t="s">
        <v>568</v>
      </c>
      <c r="K85" s="27" t="s">
        <v>1207</v>
      </c>
      <c r="L85" s="28">
        <v>45797</v>
      </c>
      <c r="M85" s="31">
        <v>7</v>
      </c>
      <c r="N85" s="27" t="s">
        <v>109</v>
      </c>
      <c r="O85" s="27" t="s">
        <v>124</v>
      </c>
      <c r="P85" s="27" t="s">
        <v>117</v>
      </c>
      <c r="Q85" s="27" t="s">
        <v>1208</v>
      </c>
    </row>
    <row r="86" spans="1:17" x14ac:dyDescent="0.2">
      <c r="A86" s="27" t="s">
        <v>104</v>
      </c>
      <c r="B86" s="27" t="s">
        <v>5</v>
      </c>
      <c r="C86" s="29" t="s">
        <v>1593</v>
      </c>
      <c r="D86" s="30">
        <v>45798</v>
      </c>
      <c r="E86" s="27" t="s">
        <v>1101</v>
      </c>
      <c r="F86" s="27" t="s">
        <v>1196</v>
      </c>
      <c r="G86" s="27" t="s">
        <v>1197</v>
      </c>
      <c r="H86" s="27" t="s">
        <v>1198</v>
      </c>
      <c r="I86" s="27" t="s">
        <v>1199</v>
      </c>
      <c r="J86" s="27" t="s">
        <v>1200</v>
      </c>
      <c r="K86" s="27" t="s">
        <v>1201</v>
      </c>
      <c r="L86" s="28">
        <v>45798</v>
      </c>
      <c r="M86" s="31">
        <v>148</v>
      </c>
      <c r="N86" s="27" t="s">
        <v>109</v>
      </c>
      <c r="O86" s="27" t="s">
        <v>244</v>
      </c>
      <c r="P86" s="27" t="s">
        <v>117</v>
      </c>
      <c r="Q86" s="27" t="s">
        <v>1202</v>
      </c>
    </row>
    <row r="87" spans="1:17" x14ac:dyDescent="0.2">
      <c r="A87" s="27" t="s">
        <v>104</v>
      </c>
      <c r="B87" s="27" t="s">
        <v>13</v>
      </c>
      <c r="C87" s="27"/>
      <c r="D87" s="30">
        <v>45800</v>
      </c>
      <c r="E87" s="27" t="s">
        <v>1101</v>
      </c>
      <c r="F87" s="27" t="s">
        <v>1193</v>
      </c>
      <c r="G87" s="27" t="s">
        <v>14</v>
      </c>
      <c r="H87" s="27" t="s">
        <v>53</v>
      </c>
      <c r="K87" s="27" t="s">
        <v>1194</v>
      </c>
      <c r="L87" s="28">
        <v>45800</v>
      </c>
      <c r="M87" s="31">
        <v>-500</v>
      </c>
      <c r="N87" s="27" t="s">
        <v>109</v>
      </c>
      <c r="O87" s="27" t="s">
        <v>124</v>
      </c>
      <c r="Q87" s="27" t="s">
        <v>1195</v>
      </c>
    </row>
    <row r="88" spans="1:17" x14ac:dyDescent="0.2">
      <c r="A88" s="27" t="s">
        <v>104</v>
      </c>
      <c r="B88" s="27" t="s">
        <v>5</v>
      </c>
      <c r="C88" s="27"/>
      <c r="D88" s="30">
        <v>45803</v>
      </c>
      <c r="E88" s="27" t="s">
        <v>1101</v>
      </c>
      <c r="F88" s="27" t="s">
        <v>1184</v>
      </c>
      <c r="G88" s="27" t="s">
        <v>1185</v>
      </c>
      <c r="H88" s="27" t="s">
        <v>1186</v>
      </c>
      <c r="K88" s="27" t="s">
        <v>1187</v>
      </c>
      <c r="L88" s="28">
        <v>45803</v>
      </c>
      <c r="M88" s="31">
        <v>40</v>
      </c>
      <c r="N88" s="27" t="s">
        <v>109</v>
      </c>
      <c r="O88" s="27" t="s">
        <v>186</v>
      </c>
      <c r="Q88" s="27" t="s">
        <v>1187</v>
      </c>
    </row>
    <row r="89" spans="1:17" x14ac:dyDescent="0.2">
      <c r="A89" s="27" t="s">
        <v>104</v>
      </c>
      <c r="B89" s="27" t="s">
        <v>28</v>
      </c>
      <c r="C89" s="27"/>
      <c r="D89" s="30">
        <v>45803</v>
      </c>
      <c r="E89" s="27" t="s">
        <v>1101</v>
      </c>
      <c r="F89" s="27" t="s">
        <v>1188</v>
      </c>
      <c r="G89" s="27" t="s">
        <v>29</v>
      </c>
      <c r="H89" s="27" t="s">
        <v>30</v>
      </c>
      <c r="I89" s="27" t="s">
        <v>152</v>
      </c>
      <c r="J89" s="27" t="s">
        <v>153</v>
      </c>
      <c r="K89" s="27" t="s">
        <v>1189</v>
      </c>
      <c r="L89" s="28">
        <v>45803</v>
      </c>
      <c r="M89" s="31">
        <v>-500</v>
      </c>
      <c r="N89" s="27" t="s">
        <v>109</v>
      </c>
      <c r="O89" s="27" t="s">
        <v>124</v>
      </c>
      <c r="P89" s="27" t="s">
        <v>117</v>
      </c>
      <c r="Q89" s="27" t="s">
        <v>1189</v>
      </c>
    </row>
    <row r="90" spans="1:17" x14ac:dyDescent="0.2">
      <c r="A90" s="27" t="s">
        <v>104</v>
      </c>
      <c r="B90" s="27" t="s">
        <v>32</v>
      </c>
      <c r="C90" s="27"/>
      <c r="D90" s="30">
        <v>45803</v>
      </c>
      <c r="E90" s="27" t="s">
        <v>1101</v>
      </c>
      <c r="F90" s="27" t="s">
        <v>1190</v>
      </c>
      <c r="H90" s="27" t="s">
        <v>1191</v>
      </c>
      <c r="J90" s="27" t="s">
        <v>167</v>
      </c>
      <c r="K90" s="27" t="s">
        <v>1192</v>
      </c>
      <c r="L90" s="28">
        <v>45801</v>
      </c>
      <c r="M90" s="31">
        <v>-65.91</v>
      </c>
      <c r="N90" s="27" t="s">
        <v>109</v>
      </c>
      <c r="P90" s="27" t="s">
        <v>117</v>
      </c>
      <c r="Q90" s="27" t="s">
        <v>1192</v>
      </c>
    </row>
    <row r="91" spans="1:17" x14ac:dyDescent="0.2">
      <c r="A91" s="27" t="s">
        <v>104</v>
      </c>
      <c r="B91" s="27" t="s">
        <v>5</v>
      </c>
      <c r="C91" s="29" t="s">
        <v>1593</v>
      </c>
      <c r="D91" s="30">
        <v>45810</v>
      </c>
      <c r="E91" s="27" t="s">
        <v>1101</v>
      </c>
      <c r="F91" s="27" t="s">
        <v>1174</v>
      </c>
      <c r="G91" s="27" t="s">
        <v>10</v>
      </c>
      <c r="H91" s="27" t="s">
        <v>294</v>
      </c>
      <c r="I91" s="27" t="s">
        <v>295</v>
      </c>
      <c r="J91" s="27" t="s">
        <v>296</v>
      </c>
      <c r="K91" s="27" t="s">
        <v>1577</v>
      </c>
      <c r="L91" s="28">
        <v>45810</v>
      </c>
      <c r="M91" s="31">
        <v>3906.91</v>
      </c>
      <c r="N91" s="27" t="s">
        <v>109</v>
      </c>
      <c r="O91" s="27" t="s">
        <v>124</v>
      </c>
      <c r="P91" s="27" t="s">
        <v>117</v>
      </c>
      <c r="Q91" s="27" t="s">
        <v>1578</v>
      </c>
    </row>
    <row r="92" spans="1:17" x14ac:dyDescent="0.2">
      <c r="A92" s="27" t="s">
        <v>104</v>
      </c>
      <c r="B92" s="27" t="s">
        <v>5</v>
      </c>
      <c r="C92" s="29" t="s">
        <v>1593</v>
      </c>
      <c r="D92" s="30">
        <v>45810</v>
      </c>
      <c r="E92" s="27" t="s">
        <v>1101</v>
      </c>
      <c r="F92" s="27" t="s">
        <v>1175</v>
      </c>
      <c r="G92" s="27" t="s">
        <v>71</v>
      </c>
      <c r="H92" s="27" t="s">
        <v>72</v>
      </c>
      <c r="I92" s="27" t="s">
        <v>1094</v>
      </c>
      <c r="J92" s="27" t="s">
        <v>950</v>
      </c>
      <c r="K92" s="27" t="s">
        <v>1176</v>
      </c>
      <c r="L92" s="28">
        <v>45806</v>
      </c>
      <c r="M92" s="31">
        <v>71</v>
      </c>
      <c r="N92" s="27" t="s">
        <v>109</v>
      </c>
      <c r="O92" s="27" t="s">
        <v>244</v>
      </c>
      <c r="P92" s="27" t="s">
        <v>117</v>
      </c>
      <c r="Q92" s="27" t="s">
        <v>1177</v>
      </c>
    </row>
    <row r="93" spans="1:17" x14ac:dyDescent="0.2">
      <c r="A93" s="27" t="s">
        <v>104</v>
      </c>
      <c r="B93" s="27" t="s">
        <v>5</v>
      </c>
      <c r="C93" s="29" t="s">
        <v>1593</v>
      </c>
      <c r="D93" s="30">
        <v>45810</v>
      </c>
      <c r="E93" s="27" t="s">
        <v>1101</v>
      </c>
      <c r="F93" s="27" t="s">
        <v>1159</v>
      </c>
      <c r="G93" s="27" t="s">
        <v>1160</v>
      </c>
      <c r="H93" s="27" t="s">
        <v>1161</v>
      </c>
      <c r="I93" s="27" t="s">
        <v>1001</v>
      </c>
      <c r="J93" s="27" t="s">
        <v>726</v>
      </c>
      <c r="K93" s="27" t="s">
        <v>1162</v>
      </c>
      <c r="L93" s="28">
        <v>45810</v>
      </c>
      <c r="M93" s="31">
        <v>64</v>
      </c>
      <c r="N93" s="27" t="s">
        <v>109</v>
      </c>
      <c r="O93" s="27" t="s">
        <v>199</v>
      </c>
      <c r="P93" s="27" t="s">
        <v>117</v>
      </c>
      <c r="Q93" s="27" t="s">
        <v>1163</v>
      </c>
    </row>
    <row r="94" spans="1:17" x14ac:dyDescent="0.2">
      <c r="A94" s="27" t="s">
        <v>104</v>
      </c>
      <c r="B94" s="27" t="s">
        <v>5</v>
      </c>
      <c r="C94" s="29" t="s">
        <v>1593</v>
      </c>
      <c r="D94" s="30">
        <v>45810</v>
      </c>
      <c r="E94" s="27" t="s">
        <v>1101</v>
      </c>
      <c r="F94" s="27" t="s">
        <v>1171</v>
      </c>
      <c r="G94" s="27" t="s">
        <v>923</v>
      </c>
      <c r="H94" s="27" t="s">
        <v>924</v>
      </c>
      <c r="I94" s="27" t="s">
        <v>925</v>
      </c>
      <c r="J94" s="27" t="s">
        <v>926</v>
      </c>
      <c r="K94" s="27" t="s">
        <v>1172</v>
      </c>
      <c r="L94" s="28">
        <v>45810</v>
      </c>
      <c r="M94" s="31">
        <v>60</v>
      </c>
      <c r="N94" s="27" t="s">
        <v>109</v>
      </c>
      <c r="O94" s="27" t="s">
        <v>199</v>
      </c>
      <c r="P94" s="27" t="s">
        <v>117</v>
      </c>
      <c r="Q94" s="27" t="s">
        <v>1173</v>
      </c>
    </row>
    <row r="95" spans="1:17" x14ac:dyDescent="0.2">
      <c r="A95" s="27" t="s">
        <v>104</v>
      </c>
      <c r="B95" s="27" t="s">
        <v>5</v>
      </c>
      <c r="C95" s="29" t="s">
        <v>1593</v>
      </c>
      <c r="D95" s="30">
        <v>45810</v>
      </c>
      <c r="E95" s="27" t="s">
        <v>1101</v>
      </c>
      <c r="F95" s="27" t="s">
        <v>1164</v>
      </c>
      <c r="G95" s="27" t="s">
        <v>1165</v>
      </c>
      <c r="H95" s="27" t="s">
        <v>1166</v>
      </c>
      <c r="I95" s="27" t="s">
        <v>1167</v>
      </c>
      <c r="J95" s="27" t="s">
        <v>1168</v>
      </c>
      <c r="K95" s="27" t="s">
        <v>1169</v>
      </c>
      <c r="L95" s="28">
        <v>45810</v>
      </c>
      <c r="M95" s="31">
        <v>18</v>
      </c>
      <c r="N95" s="27" t="s">
        <v>109</v>
      </c>
      <c r="O95" s="27" t="s">
        <v>124</v>
      </c>
      <c r="P95" s="27" t="s">
        <v>117</v>
      </c>
      <c r="Q95" s="27" t="s">
        <v>1170</v>
      </c>
    </row>
    <row r="96" spans="1:17" x14ac:dyDescent="0.2">
      <c r="A96" s="27" t="s">
        <v>104</v>
      </c>
      <c r="B96" s="27" t="s">
        <v>5</v>
      </c>
      <c r="C96" s="29" t="s">
        <v>1593</v>
      </c>
      <c r="D96" s="30">
        <v>45810</v>
      </c>
      <c r="E96" s="27" t="s">
        <v>1101</v>
      </c>
      <c r="F96" s="27" t="s">
        <v>1178</v>
      </c>
      <c r="G96" s="27" t="s">
        <v>1179</v>
      </c>
      <c r="H96" s="27" t="s">
        <v>1180</v>
      </c>
      <c r="I96" s="27" t="s">
        <v>1181</v>
      </c>
      <c r="J96" s="27" t="s">
        <v>242</v>
      </c>
      <c r="K96" s="27" t="s">
        <v>1182</v>
      </c>
      <c r="L96" s="28">
        <v>45805</v>
      </c>
      <c r="M96" s="31">
        <v>7</v>
      </c>
      <c r="N96" s="27" t="s">
        <v>109</v>
      </c>
      <c r="O96" s="27" t="s">
        <v>244</v>
      </c>
      <c r="P96" s="27" t="s">
        <v>117</v>
      </c>
      <c r="Q96" s="27" t="s">
        <v>1183</v>
      </c>
    </row>
    <row r="97" spans="1:17" x14ac:dyDescent="0.2">
      <c r="A97" s="27" t="s">
        <v>104</v>
      </c>
      <c r="B97" s="27" t="s">
        <v>5</v>
      </c>
      <c r="C97" s="29" t="s">
        <v>1593</v>
      </c>
      <c r="D97" s="30">
        <v>45811</v>
      </c>
      <c r="E97" s="27" t="s">
        <v>1101</v>
      </c>
      <c r="F97" s="27" t="s">
        <v>1146</v>
      </c>
      <c r="G97" s="27" t="s">
        <v>1147</v>
      </c>
      <c r="H97" s="27" t="s">
        <v>1148</v>
      </c>
      <c r="I97" s="27" t="s">
        <v>1149</v>
      </c>
      <c r="J97" s="27" t="s">
        <v>313</v>
      </c>
      <c r="K97" s="27" t="s">
        <v>1150</v>
      </c>
      <c r="L97" s="28">
        <v>45810</v>
      </c>
      <c r="M97" s="31">
        <v>94</v>
      </c>
      <c r="N97" s="27" t="s">
        <v>109</v>
      </c>
      <c r="O97" s="27" t="s">
        <v>244</v>
      </c>
      <c r="P97" s="27" t="s">
        <v>117</v>
      </c>
      <c r="Q97" s="27" t="s">
        <v>1151</v>
      </c>
    </row>
    <row r="98" spans="1:17" x14ac:dyDescent="0.2">
      <c r="A98" s="27" t="s">
        <v>104</v>
      </c>
      <c r="B98" s="27" t="s">
        <v>5</v>
      </c>
      <c r="C98" s="29" t="s">
        <v>1593</v>
      </c>
      <c r="D98" s="30">
        <v>45811</v>
      </c>
      <c r="E98" s="27" t="s">
        <v>1101</v>
      </c>
      <c r="F98" s="27" t="s">
        <v>1137</v>
      </c>
      <c r="G98" s="27" t="s">
        <v>1138</v>
      </c>
      <c r="H98" s="27" t="s">
        <v>1139</v>
      </c>
      <c r="I98" s="27" t="s">
        <v>1140</v>
      </c>
      <c r="J98" s="27" t="s">
        <v>276</v>
      </c>
      <c r="K98" s="27" t="s">
        <v>1141</v>
      </c>
      <c r="L98" s="28">
        <v>45811</v>
      </c>
      <c r="M98" s="31">
        <v>71</v>
      </c>
      <c r="N98" s="27" t="s">
        <v>109</v>
      </c>
      <c r="O98" s="27" t="s">
        <v>143</v>
      </c>
      <c r="P98" s="27" t="s">
        <v>117</v>
      </c>
      <c r="Q98" s="27" t="s">
        <v>1142</v>
      </c>
    </row>
    <row r="99" spans="1:17" x14ac:dyDescent="0.2">
      <c r="A99" s="27" t="s">
        <v>104</v>
      </c>
      <c r="B99" s="27" t="s">
        <v>5</v>
      </c>
      <c r="C99" s="29" t="s">
        <v>1593</v>
      </c>
      <c r="D99" s="30">
        <v>45811</v>
      </c>
      <c r="E99" s="27" t="s">
        <v>1101</v>
      </c>
      <c r="F99" s="27" t="s">
        <v>1143</v>
      </c>
      <c r="G99" s="27" t="s">
        <v>1009</v>
      </c>
      <c r="H99" s="27" t="s">
        <v>1010</v>
      </c>
      <c r="I99" s="27" t="s">
        <v>1011</v>
      </c>
      <c r="J99" s="27" t="s">
        <v>926</v>
      </c>
      <c r="K99" s="27" t="s">
        <v>1144</v>
      </c>
      <c r="L99" s="28">
        <v>45810</v>
      </c>
      <c r="M99" s="31">
        <v>71</v>
      </c>
      <c r="N99" s="27" t="s">
        <v>109</v>
      </c>
      <c r="O99" s="27" t="s">
        <v>199</v>
      </c>
      <c r="P99" s="27" t="s">
        <v>117</v>
      </c>
      <c r="Q99" s="27" t="s">
        <v>1145</v>
      </c>
    </row>
    <row r="100" spans="1:17" x14ac:dyDescent="0.2">
      <c r="A100" s="27" t="s">
        <v>104</v>
      </c>
      <c r="B100" s="27" t="s">
        <v>45</v>
      </c>
      <c r="C100" s="27"/>
      <c r="D100" s="30">
        <v>45811</v>
      </c>
      <c r="E100" s="27" t="s">
        <v>1101</v>
      </c>
      <c r="F100" s="27" t="s">
        <v>1129</v>
      </c>
      <c r="G100" s="27" t="s">
        <v>38</v>
      </c>
      <c r="H100" s="27" t="s">
        <v>1130</v>
      </c>
      <c r="K100" s="27" t="s">
        <v>1131</v>
      </c>
      <c r="L100" s="28">
        <v>45811</v>
      </c>
      <c r="M100" s="31">
        <v>-1.95</v>
      </c>
      <c r="N100" s="27" t="s">
        <v>109</v>
      </c>
      <c r="O100" s="27" t="s">
        <v>1132</v>
      </c>
      <c r="Q100" s="27" t="s">
        <v>1133</v>
      </c>
    </row>
    <row r="101" spans="1:17" x14ac:dyDescent="0.2">
      <c r="A101" s="27" t="s">
        <v>104</v>
      </c>
      <c r="B101" s="27" t="s">
        <v>5</v>
      </c>
      <c r="C101" s="29" t="s">
        <v>1593</v>
      </c>
      <c r="D101" s="30">
        <v>45811</v>
      </c>
      <c r="E101" s="27" t="s">
        <v>1101</v>
      </c>
      <c r="F101" s="27" t="s">
        <v>1152</v>
      </c>
      <c r="G101" s="27" t="s">
        <v>1153</v>
      </c>
      <c r="H101" s="27" t="s">
        <v>1154</v>
      </c>
      <c r="I101" s="27" t="s">
        <v>1155</v>
      </c>
      <c r="J101" s="27" t="s">
        <v>1156</v>
      </c>
      <c r="K101" s="27" t="s">
        <v>1157</v>
      </c>
      <c r="L101" s="28">
        <v>45810</v>
      </c>
      <c r="M101" s="31">
        <v>9</v>
      </c>
      <c r="N101" s="27" t="s">
        <v>109</v>
      </c>
      <c r="O101" s="27" t="s">
        <v>186</v>
      </c>
      <c r="P101" s="27" t="s">
        <v>117</v>
      </c>
      <c r="Q101" s="27" t="s">
        <v>1158</v>
      </c>
    </row>
    <row r="102" spans="1:17" x14ac:dyDescent="0.2">
      <c r="A102" s="27" t="s">
        <v>104</v>
      </c>
      <c r="B102" s="27" t="s">
        <v>5</v>
      </c>
      <c r="C102" s="29" t="s">
        <v>1593</v>
      </c>
      <c r="D102" s="30">
        <v>45811</v>
      </c>
      <c r="E102" s="27" t="s">
        <v>1101</v>
      </c>
      <c r="F102" s="27" t="s">
        <v>1134</v>
      </c>
      <c r="G102" s="27" t="s">
        <v>64</v>
      </c>
      <c r="H102" s="27" t="s">
        <v>65</v>
      </c>
      <c r="I102" s="27" t="s">
        <v>1005</v>
      </c>
      <c r="J102" s="27" t="s">
        <v>242</v>
      </c>
      <c r="K102" s="27" t="s">
        <v>1135</v>
      </c>
      <c r="L102" s="28">
        <v>45811</v>
      </c>
      <c r="M102" s="31">
        <v>7</v>
      </c>
      <c r="N102" s="27" t="s">
        <v>109</v>
      </c>
      <c r="O102" s="27" t="s">
        <v>244</v>
      </c>
      <c r="P102" s="27" t="s">
        <v>117</v>
      </c>
      <c r="Q102" s="27" t="s">
        <v>1136</v>
      </c>
    </row>
    <row r="103" spans="1:17" x14ac:dyDescent="0.2">
      <c r="A103" s="27" t="s">
        <v>104</v>
      </c>
      <c r="B103" s="27" t="s">
        <v>5</v>
      </c>
      <c r="C103" s="29" t="s">
        <v>1593</v>
      </c>
      <c r="D103" s="30">
        <v>45812</v>
      </c>
      <c r="E103" s="27" t="s">
        <v>1101</v>
      </c>
      <c r="F103" s="27" t="s">
        <v>1113</v>
      </c>
      <c r="G103" s="27" t="s">
        <v>62</v>
      </c>
      <c r="H103" s="27" t="s">
        <v>63</v>
      </c>
      <c r="I103" s="27" t="s">
        <v>1114</v>
      </c>
      <c r="J103" s="27" t="s">
        <v>306</v>
      </c>
      <c r="K103" s="27" t="s">
        <v>1115</v>
      </c>
      <c r="L103" s="28">
        <v>45812</v>
      </c>
      <c r="M103" s="31">
        <v>88</v>
      </c>
      <c r="N103" s="27" t="s">
        <v>109</v>
      </c>
      <c r="O103" s="27" t="s">
        <v>614</v>
      </c>
      <c r="P103" s="27" t="s">
        <v>117</v>
      </c>
      <c r="Q103" s="27" t="s">
        <v>1116</v>
      </c>
    </row>
    <row r="104" spans="1:17" x14ac:dyDescent="0.2">
      <c r="A104" s="27" t="s">
        <v>104</v>
      </c>
      <c r="B104" s="27" t="s">
        <v>5</v>
      </c>
      <c r="C104" s="29" t="s">
        <v>1593</v>
      </c>
      <c r="D104" s="30">
        <v>45812</v>
      </c>
      <c r="E104" s="27" t="s">
        <v>1101</v>
      </c>
      <c r="F104" s="27" t="s">
        <v>1105</v>
      </c>
      <c r="G104" s="27" t="s">
        <v>15</v>
      </c>
      <c r="H104" s="27" t="s">
        <v>16</v>
      </c>
      <c r="I104" s="27" t="s">
        <v>196</v>
      </c>
      <c r="J104" s="27" t="s">
        <v>197</v>
      </c>
      <c r="K104" s="27" t="s">
        <v>1106</v>
      </c>
      <c r="L104" s="28">
        <v>45812</v>
      </c>
      <c r="M104" s="31">
        <v>83.71</v>
      </c>
      <c r="N104" s="27" t="s">
        <v>109</v>
      </c>
      <c r="O104" s="27" t="s">
        <v>199</v>
      </c>
      <c r="P104" s="27" t="s">
        <v>117</v>
      </c>
      <c r="Q104" s="27" t="s">
        <v>1107</v>
      </c>
    </row>
    <row r="105" spans="1:17" x14ac:dyDescent="0.2">
      <c r="A105" s="27" t="s">
        <v>104</v>
      </c>
      <c r="B105" s="27" t="s">
        <v>5</v>
      </c>
      <c r="C105" s="29" t="s">
        <v>1593</v>
      </c>
      <c r="D105" s="30">
        <v>45812</v>
      </c>
      <c r="E105" s="27" t="s">
        <v>1101</v>
      </c>
      <c r="F105" s="27" t="s">
        <v>1111</v>
      </c>
      <c r="G105" s="27" t="s">
        <v>976</v>
      </c>
      <c r="H105" s="27" t="s">
        <v>977</v>
      </c>
      <c r="I105" s="27" t="s">
        <v>978</v>
      </c>
      <c r="J105" s="27" t="s">
        <v>979</v>
      </c>
      <c r="K105" s="27" t="s">
        <v>1112</v>
      </c>
      <c r="L105" s="28">
        <v>45812</v>
      </c>
      <c r="M105" s="31">
        <v>61</v>
      </c>
      <c r="N105" s="27" t="s">
        <v>109</v>
      </c>
      <c r="O105" s="27" t="s">
        <v>614</v>
      </c>
      <c r="P105" s="27" t="s">
        <v>117</v>
      </c>
      <c r="Q105" s="27" t="s">
        <v>981</v>
      </c>
    </row>
    <row r="106" spans="1:17" x14ac:dyDescent="0.2">
      <c r="A106" s="27" t="s">
        <v>104</v>
      </c>
      <c r="B106" s="27" t="s">
        <v>5</v>
      </c>
      <c r="C106" s="29" t="s">
        <v>1593</v>
      </c>
      <c r="D106" s="30">
        <v>45812</v>
      </c>
      <c r="E106" s="27" t="s">
        <v>1101</v>
      </c>
      <c r="F106" s="27" t="s">
        <v>1108</v>
      </c>
      <c r="G106" s="27" t="s">
        <v>1015</v>
      </c>
      <c r="H106" s="27" t="s">
        <v>1016</v>
      </c>
      <c r="I106" s="27" t="s">
        <v>1017</v>
      </c>
      <c r="J106" s="27" t="s">
        <v>1018</v>
      </c>
      <c r="K106" s="27" t="s">
        <v>1109</v>
      </c>
      <c r="L106" s="28">
        <v>45812</v>
      </c>
      <c r="M106" s="31">
        <v>57</v>
      </c>
      <c r="N106" s="27" t="s">
        <v>109</v>
      </c>
      <c r="O106" s="27" t="s">
        <v>199</v>
      </c>
      <c r="P106" s="27" t="s">
        <v>117</v>
      </c>
      <c r="Q106" s="27" t="s">
        <v>1110</v>
      </c>
    </row>
    <row r="107" spans="1:17" x14ac:dyDescent="0.2">
      <c r="A107" s="27" t="s">
        <v>104</v>
      </c>
      <c r="B107" s="27" t="s">
        <v>5</v>
      </c>
      <c r="C107" s="29" t="s">
        <v>1593</v>
      </c>
      <c r="D107" s="30">
        <v>45812</v>
      </c>
      <c r="E107" s="27" t="s">
        <v>1101</v>
      </c>
      <c r="F107" s="27" t="s">
        <v>1102</v>
      </c>
      <c r="G107" s="27" t="s">
        <v>35</v>
      </c>
      <c r="H107" s="27" t="s">
        <v>36</v>
      </c>
      <c r="I107" s="27" t="s">
        <v>234</v>
      </c>
      <c r="J107" s="27" t="s">
        <v>235</v>
      </c>
      <c r="K107" s="27" t="s">
        <v>1103</v>
      </c>
      <c r="L107" s="28">
        <v>45812</v>
      </c>
      <c r="M107" s="31">
        <v>55.5</v>
      </c>
      <c r="N107" s="27" t="s">
        <v>109</v>
      </c>
      <c r="O107" s="27" t="s">
        <v>199</v>
      </c>
      <c r="P107" s="27" t="s">
        <v>117</v>
      </c>
      <c r="Q107" s="27" t="s">
        <v>1104</v>
      </c>
    </row>
    <row r="108" spans="1:17" x14ac:dyDescent="0.2">
      <c r="A108" s="27" t="s">
        <v>104</v>
      </c>
      <c r="B108" s="27" t="s">
        <v>6</v>
      </c>
      <c r="C108" s="27"/>
      <c r="D108" s="30">
        <v>45812</v>
      </c>
      <c r="E108" s="27" t="s">
        <v>1101</v>
      </c>
      <c r="F108" s="27" t="s">
        <v>1123</v>
      </c>
      <c r="G108" s="27" t="s">
        <v>1124</v>
      </c>
      <c r="H108" s="27" t="s">
        <v>1125</v>
      </c>
      <c r="K108" s="27" t="s">
        <v>1126</v>
      </c>
      <c r="L108" s="28">
        <v>45812</v>
      </c>
      <c r="M108" s="31">
        <v>-937.05</v>
      </c>
      <c r="N108" s="27" t="s">
        <v>109</v>
      </c>
      <c r="O108" s="27" t="s">
        <v>1127</v>
      </c>
      <c r="Q108" s="27" t="s">
        <v>1128</v>
      </c>
    </row>
    <row r="109" spans="1:17" x14ac:dyDescent="0.2">
      <c r="A109" s="27" t="s">
        <v>104</v>
      </c>
      <c r="B109" s="27" t="s">
        <v>5</v>
      </c>
      <c r="C109" s="29" t="s">
        <v>1593</v>
      </c>
      <c r="D109" s="30">
        <v>45812</v>
      </c>
      <c r="E109" s="27" t="s">
        <v>1101</v>
      </c>
      <c r="F109" s="27" t="s">
        <v>1117</v>
      </c>
      <c r="G109" s="27" t="s">
        <v>1118</v>
      </c>
      <c r="H109" s="27" t="s">
        <v>1119</v>
      </c>
      <c r="I109" s="27" t="s">
        <v>1120</v>
      </c>
      <c r="J109" s="27" t="s">
        <v>242</v>
      </c>
      <c r="K109" s="27" t="s">
        <v>1121</v>
      </c>
      <c r="L109" s="28">
        <v>45812</v>
      </c>
      <c r="M109" s="31">
        <v>14</v>
      </c>
      <c r="N109" s="27" t="s">
        <v>109</v>
      </c>
      <c r="O109" s="27" t="s">
        <v>244</v>
      </c>
      <c r="P109" s="27" t="s">
        <v>117</v>
      </c>
      <c r="Q109" s="27" t="s">
        <v>1122</v>
      </c>
    </row>
    <row r="110" spans="1:17" x14ac:dyDescent="0.2">
      <c r="A110" s="27" t="s">
        <v>104</v>
      </c>
      <c r="B110" s="27" t="s">
        <v>5</v>
      </c>
      <c r="C110" s="29" t="s">
        <v>1593</v>
      </c>
      <c r="D110" s="30">
        <v>45813</v>
      </c>
      <c r="E110" s="27" t="s">
        <v>953</v>
      </c>
      <c r="F110" s="27" t="s">
        <v>1097</v>
      </c>
      <c r="G110" s="27" t="s">
        <v>19</v>
      </c>
      <c r="H110" s="27" t="s">
        <v>75</v>
      </c>
      <c r="I110" s="27" t="s">
        <v>529</v>
      </c>
      <c r="J110" s="27" t="s">
        <v>530</v>
      </c>
      <c r="K110" s="27" t="s">
        <v>1098</v>
      </c>
      <c r="L110" s="28">
        <v>45813</v>
      </c>
      <c r="M110" s="31">
        <v>1003.82</v>
      </c>
      <c r="N110" s="27" t="s">
        <v>109</v>
      </c>
      <c r="O110" s="27" t="s">
        <v>143</v>
      </c>
      <c r="P110" s="27" t="s">
        <v>117</v>
      </c>
      <c r="Q110" s="27" t="s">
        <v>1099</v>
      </c>
    </row>
    <row r="111" spans="1:17" x14ac:dyDescent="0.2">
      <c r="A111" s="27" t="s">
        <v>104</v>
      </c>
      <c r="B111" s="27" t="s">
        <v>5</v>
      </c>
      <c r="C111" s="29" t="s">
        <v>1593</v>
      </c>
      <c r="D111" s="30">
        <v>45813</v>
      </c>
      <c r="E111" s="27" t="s">
        <v>953</v>
      </c>
      <c r="F111" s="27" t="s">
        <v>1085</v>
      </c>
      <c r="G111" s="27" t="s">
        <v>50</v>
      </c>
      <c r="H111" s="27" t="s">
        <v>51</v>
      </c>
      <c r="I111" s="27" t="s">
        <v>443</v>
      </c>
      <c r="J111" s="27" t="s">
        <v>444</v>
      </c>
      <c r="K111" s="27" t="s">
        <v>1086</v>
      </c>
      <c r="L111" s="28">
        <v>45813</v>
      </c>
      <c r="M111" s="31">
        <v>189.61</v>
      </c>
      <c r="N111" s="27" t="s">
        <v>109</v>
      </c>
      <c r="O111" s="27" t="s">
        <v>199</v>
      </c>
      <c r="P111" s="27" t="s">
        <v>117</v>
      </c>
      <c r="Q111" s="27" t="s">
        <v>1087</v>
      </c>
    </row>
    <row r="112" spans="1:17" x14ac:dyDescent="0.2">
      <c r="A112" s="27" t="s">
        <v>104</v>
      </c>
      <c r="B112" s="27" t="s">
        <v>5</v>
      </c>
      <c r="C112" s="29" t="s">
        <v>1593</v>
      </c>
      <c r="D112" s="30">
        <v>45813</v>
      </c>
      <c r="E112" s="27" t="s">
        <v>953</v>
      </c>
      <c r="F112" s="27" t="s">
        <v>1088</v>
      </c>
      <c r="G112" s="27" t="s">
        <v>910</v>
      </c>
      <c r="H112" s="27" t="s">
        <v>911</v>
      </c>
      <c r="I112" s="27" t="s">
        <v>912</v>
      </c>
      <c r="J112" s="27" t="s">
        <v>313</v>
      </c>
      <c r="K112" s="27" t="s">
        <v>1089</v>
      </c>
      <c r="L112" s="28">
        <v>45813</v>
      </c>
      <c r="M112" s="31">
        <v>68</v>
      </c>
      <c r="N112" s="27" t="s">
        <v>109</v>
      </c>
      <c r="O112" s="27" t="s">
        <v>244</v>
      </c>
      <c r="P112" s="27" t="s">
        <v>117</v>
      </c>
      <c r="Q112" s="27" t="s">
        <v>1090</v>
      </c>
    </row>
    <row r="113" spans="1:17" x14ac:dyDescent="0.2">
      <c r="A113" s="27" t="s">
        <v>104</v>
      </c>
      <c r="B113" s="27" t="s">
        <v>13</v>
      </c>
      <c r="C113" s="27"/>
      <c r="D113" s="30">
        <v>45813</v>
      </c>
      <c r="E113" s="27" t="s">
        <v>953</v>
      </c>
      <c r="F113" s="27" t="s">
        <v>1091</v>
      </c>
      <c r="G113" s="27" t="s">
        <v>14</v>
      </c>
      <c r="H113" s="27" t="s">
        <v>53</v>
      </c>
      <c r="K113" s="27" t="s">
        <v>1092</v>
      </c>
      <c r="L113" s="28">
        <v>45813</v>
      </c>
      <c r="M113" s="31">
        <v>-1400</v>
      </c>
      <c r="N113" s="27" t="s">
        <v>109</v>
      </c>
      <c r="O113" s="27" t="s">
        <v>124</v>
      </c>
      <c r="Q113" s="27" t="s">
        <v>1033</v>
      </c>
    </row>
    <row r="114" spans="1:17" x14ac:dyDescent="0.2">
      <c r="A114" s="27" t="s">
        <v>104</v>
      </c>
      <c r="B114" s="27" t="s">
        <v>12</v>
      </c>
      <c r="C114" s="27"/>
      <c r="D114" s="30">
        <v>45813</v>
      </c>
      <c r="E114" s="27" t="s">
        <v>953</v>
      </c>
      <c r="F114" s="27" t="s">
        <v>1100</v>
      </c>
      <c r="K114" s="27" t="s">
        <v>1576</v>
      </c>
      <c r="L114" s="28">
        <v>45809</v>
      </c>
      <c r="M114" s="31">
        <v>-7.5</v>
      </c>
      <c r="N114" s="27" t="s">
        <v>109</v>
      </c>
      <c r="Q114" s="27" t="s">
        <v>1576</v>
      </c>
    </row>
    <row r="115" spans="1:17" x14ac:dyDescent="0.2">
      <c r="A115" s="27" t="s">
        <v>104</v>
      </c>
      <c r="B115" s="27" t="s">
        <v>5</v>
      </c>
      <c r="C115" s="29" t="s">
        <v>1593</v>
      </c>
      <c r="D115" s="30">
        <v>45813</v>
      </c>
      <c r="E115" s="27" t="s">
        <v>953</v>
      </c>
      <c r="F115" s="27" t="s">
        <v>1093</v>
      </c>
      <c r="G115" s="27" t="s">
        <v>71</v>
      </c>
      <c r="H115" s="27" t="s">
        <v>72</v>
      </c>
      <c r="I115" s="27" t="s">
        <v>1094</v>
      </c>
      <c r="J115" s="27" t="s">
        <v>950</v>
      </c>
      <c r="K115" s="27" t="s">
        <v>1095</v>
      </c>
      <c r="L115" s="28">
        <v>45813</v>
      </c>
      <c r="M115" s="31">
        <v>7</v>
      </c>
      <c r="N115" s="27" t="s">
        <v>109</v>
      </c>
      <c r="O115" s="27" t="s">
        <v>244</v>
      </c>
      <c r="P115" s="27" t="s">
        <v>117</v>
      </c>
      <c r="Q115" s="27" t="s">
        <v>1096</v>
      </c>
    </row>
    <row r="116" spans="1:17" x14ac:dyDescent="0.2">
      <c r="A116" s="27" t="s">
        <v>104</v>
      </c>
      <c r="B116" s="27" t="s">
        <v>5</v>
      </c>
      <c r="C116" s="29" t="s">
        <v>1593</v>
      </c>
      <c r="D116" s="30">
        <v>45814</v>
      </c>
      <c r="E116" s="27" t="s">
        <v>953</v>
      </c>
      <c r="F116" s="27" t="s">
        <v>1082</v>
      </c>
      <c r="G116" s="27" t="s">
        <v>876</v>
      </c>
      <c r="H116" s="27" t="s">
        <v>877</v>
      </c>
      <c r="I116" s="27" t="s">
        <v>878</v>
      </c>
      <c r="J116" s="27" t="s">
        <v>276</v>
      </c>
      <c r="K116" s="27" t="s">
        <v>1083</v>
      </c>
      <c r="L116" s="28">
        <v>45814</v>
      </c>
      <c r="M116" s="31">
        <v>85</v>
      </c>
      <c r="N116" s="27" t="s">
        <v>109</v>
      </c>
      <c r="O116" s="27" t="s">
        <v>143</v>
      </c>
      <c r="P116" s="27" t="s">
        <v>117</v>
      </c>
      <c r="Q116" s="27" t="s">
        <v>1084</v>
      </c>
    </row>
    <row r="117" spans="1:17" x14ac:dyDescent="0.2">
      <c r="A117" s="27" t="s">
        <v>104</v>
      </c>
      <c r="B117" s="27" t="s">
        <v>8</v>
      </c>
      <c r="C117" s="27"/>
      <c r="D117" s="30">
        <v>45818</v>
      </c>
      <c r="E117" s="27" t="s">
        <v>953</v>
      </c>
      <c r="F117" s="27" t="s">
        <v>1078</v>
      </c>
      <c r="G117" s="27" t="s">
        <v>1079</v>
      </c>
      <c r="H117" s="27" t="s">
        <v>1080</v>
      </c>
      <c r="K117" s="27" t="s">
        <v>1574</v>
      </c>
      <c r="L117" s="28">
        <v>45817</v>
      </c>
      <c r="M117" s="31">
        <v>-51.7</v>
      </c>
      <c r="N117" s="27" t="s">
        <v>109</v>
      </c>
      <c r="O117" s="27" t="s">
        <v>1081</v>
      </c>
      <c r="Q117" s="27" t="s">
        <v>1575</v>
      </c>
    </row>
    <row r="118" spans="1:17" x14ac:dyDescent="0.2">
      <c r="A118" s="27" t="s">
        <v>104</v>
      </c>
      <c r="B118" s="27" t="s">
        <v>5</v>
      </c>
      <c r="C118" s="29" t="s">
        <v>1593</v>
      </c>
      <c r="D118" s="30">
        <v>45819</v>
      </c>
      <c r="E118" s="27" t="s">
        <v>953</v>
      </c>
      <c r="F118" s="27" t="s">
        <v>1069</v>
      </c>
      <c r="G118" s="27" t="s">
        <v>44</v>
      </c>
      <c r="H118" s="27" t="s">
        <v>76</v>
      </c>
      <c r="I118" s="27" t="s">
        <v>174</v>
      </c>
      <c r="J118" s="27" t="s">
        <v>175</v>
      </c>
      <c r="K118" s="27" t="s">
        <v>1070</v>
      </c>
      <c r="L118" s="28">
        <v>45819</v>
      </c>
      <c r="M118" s="31">
        <v>257.94</v>
      </c>
      <c r="N118" s="27" t="s">
        <v>109</v>
      </c>
      <c r="O118" s="27" t="s">
        <v>143</v>
      </c>
      <c r="P118" s="27" t="s">
        <v>117</v>
      </c>
      <c r="Q118" s="27" t="s">
        <v>1071</v>
      </c>
    </row>
    <row r="119" spans="1:17" x14ac:dyDescent="0.2">
      <c r="A119" s="27" t="s">
        <v>104</v>
      </c>
      <c r="B119" s="27" t="s">
        <v>5</v>
      </c>
      <c r="C119" s="29" t="s">
        <v>1593</v>
      </c>
      <c r="D119" s="30">
        <v>45819</v>
      </c>
      <c r="E119" s="27" t="s">
        <v>953</v>
      </c>
      <c r="F119" s="27" t="s">
        <v>1063</v>
      </c>
      <c r="G119" s="27" t="s">
        <v>1064</v>
      </c>
      <c r="H119" s="27" t="s">
        <v>1065</v>
      </c>
      <c r="I119" s="27" t="s">
        <v>1066</v>
      </c>
      <c r="J119" s="27" t="s">
        <v>159</v>
      </c>
      <c r="K119" s="27" t="s">
        <v>1067</v>
      </c>
      <c r="L119" s="28">
        <v>45819</v>
      </c>
      <c r="M119" s="31">
        <v>77</v>
      </c>
      <c r="N119" s="27" t="s">
        <v>109</v>
      </c>
      <c r="O119" s="27" t="s">
        <v>244</v>
      </c>
      <c r="P119" s="27" t="s">
        <v>117</v>
      </c>
      <c r="Q119" s="27" t="s">
        <v>1068</v>
      </c>
    </row>
    <row r="120" spans="1:17" x14ac:dyDescent="0.2">
      <c r="A120" s="27" t="s">
        <v>104</v>
      </c>
      <c r="B120" s="27" t="s">
        <v>5</v>
      </c>
      <c r="C120" s="29" t="s">
        <v>1593</v>
      </c>
      <c r="D120" s="30">
        <v>45819</v>
      </c>
      <c r="E120" s="27" t="s">
        <v>953</v>
      </c>
      <c r="F120" s="27" t="s">
        <v>1072</v>
      </c>
      <c r="G120" s="27" t="s">
        <v>1073</v>
      </c>
      <c r="H120" s="27" t="s">
        <v>1074</v>
      </c>
      <c r="I120" s="27" t="s">
        <v>1075</v>
      </c>
      <c r="J120" s="27" t="s">
        <v>726</v>
      </c>
      <c r="K120" s="27" t="s">
        <v>1076</v>
      </c>
      <c r="L120" s="28">
        <v>45818</v>
      </c>
      <c r="M120" s="31">
        <v>64</v>
      </c>
      <c r="N120" s="27" t="s">
        <v>109</v>
      </c>
      <c r="O120" s="27" t="s">
        <v>199</v>
      </c>
      <c r="P120" s="27" t="s">
        <v>117</v>
      </c>
      <c r="Q120" s="27" t="s">
        <v>1077</v>
      </c>
    </row>
    <row r="121" spans="1:17" x14ac:dyDescent="0.2">
      <c r="A121" s="27" t="s">
        <v>104</v>
      </c>
      <c r="B121" s="27" t="s">
        <v>8</v>
      </c>
      <c r="C121" s="27"/>
      <c r="D121" s="30">
        <v>45820</v>
      </c>
      <c r="E121" s="27" t="s">
        <v>953</v>
      </c>
      <c r="F121" s="27" t="s">
        <v>1060</v>
      </c>
      <c r="H121" s="27" t="s">
        <v>1061</v>
      </c>
      <c r="J121" s="27" t="s">
        <v>713</v>
      </c>
      <c r="K121" s="27" t="s">
        <v>1062</v>
      </c>
      <c r="L121" s="28">
        <v>45820</v>
      </c>
      <c r="M121" s="31">
        <v>-17.98</v>
      </c>
      <c r="N121" s="27" t="s">
        <v>109</v>
      </c>
      <c r="P121" s="27" t="s">
        <v>117</v>
      </c>
      <c r="Q121" s="27" t="s">
        <v>1062</v>
      </c>
    </row>
    <row r="122" spans="1:17" x14ac:dyDescent="0.2">
      <c r="A122" s="27" t="s">
        <v>104</v>
      </c>
      <c r="B122" s="27" t="s">
        <v>5</v>
      </c>
      <c r="C122" s="29" t="s">
        <v>1593</v>
      </c>
      <c r="D122" s="30">
        <v>45824</v>
      </c>
      <c r="E122" s="27" t="s">
        <v>953</v>
      </c>
      <c r="F122" s="27" t="s">
        <v>1057</v>
      </c>
      <c r="G122" s="27" t="s">
        <v>594</v>
      </c>
      <c r="H122" s="27" t="s">
        <v>595</v>
      </c>
      <c r="I122" s="27" t="s">
        <v>596</v>
      </c>
      <c r="J122" s="27" t="s">
        <v>597</v>
      </c>
      <c r="K122" s="27" t="s">
        <v>1058</v>
      </c>
      <c r="L122" s="28">
        <v>45824</v>
      </c>
      <c r="M122" s="31">
        <v>86</v>
      </c>
      <c r="N122" s="27" t="s">
        <v>109</v>
      </c>
      <c r="O122" s="27" t="s">
        <v>244</v>
      </c>
      <c r="P122" s="27" t="s">
        <v>117</v>
      </c>
      <c r="Q122" s="27" t="s">
        <v>1059</v>
      </c>
    </row>
    <row r="123" spans="1:17" x14ac:dyDescent="0.2">
      <c r="A123" s="27" t="s">
        <v>104</v>
      </c>
      <c r="B123" s="27" t="s">
        <v>5</v>
      </c>
      <c r="C123" s="29" t="s">
        <v>1593</v>
      </c>
      <c r="D123" s="30">
        <v>45825</v>
      </c>
      <c r="E123" s="27" t="s">
        <v>953</v>
      </c>
      <c r="F123" s="27" t="s">
        <v>1049</v>
      </c>
      <c r="G123" s="27" t="s">
        <v>1050</v>
      </c>
      <c r="H123" s="27" t="s">
        <v>1051</v>
      </c>
      <c r="I123" s="27" t="s">
        <v>1052</v>
      </c>
      <c r="J123" s="27" t="s">
        <v>276</v>
      </c>
      <c r="K123" s="27" t="s">
        <v>1053</v>
      </c>
      <c r="L123" s="28">
        <v>45825</v>
      </c>
      <c r="M123" s="31">
        <v>101</v>
      </c>
      <c r="N123" s="27" t="s">
        <v>109</v>
      </c>
      <c r="O123" s="27" t="s">
        <v>143</v>
      </c>
      <c r="P123" s="27" t="s">
        <v>117</v>
      </c>
      <c r="Q123" s="27" t="s">
        <v>1054</v>
      </c>
    </row>
    <row r="124" spans="1:17" x14ac:dyDescent="0.2">
      <c r="A124" s="27" t="s">
        <v>104</v>
      </c>
      <c r="B124" s="27" t="s">
        <v>13</v>
      </c>
      <c r="C124" s="27"/>
      <c r="D124" s="30">
        <v>45825</v>
      </c>
      <c r="E124" s="27" t="s">
        <v>953</v>
      </c>
      <c r="F124" s="27" t="s">
        <v>1055</v>
      </c>
      <c r="G124" s="27" t="s">
        <v>14</v>
      </c>
      <c r="H124" s="27" t="s">
        <v>53</v>
      </c>
      <c r="K124" s="27" t="s">
        <v>1056</v>
      </c>
      <c r="L124" s="28">
        <v>45825</v>
      </c>
      <c r="M124" s="31">
        <v>-1250</v>
      </c>
      <c r="N124" s="27" t="s">
        <v>109</v>
      </c>
      <c r="O124" s="27" t="s">
        <v>124</v>
      </c>
      <c r="Q124" s="27" t="s">
        <v>1033</v>
      </c>
    </row>
    <row r="125" spans="1:17" x14ac:dyDescent="0.2">
      <c r="A125" s="27" t="s">
        <v>104</v>
      </c>
      <c r="B125" s="27" t="s">
        <v>5</v>
      </c>
      <c r="C125" s="29" t="s">
        <v>1593</v>
      </c>
      <c r="D125" s="30">
        <v>45827</v>
      </c>
      <c r="E125" s="27" t="s">
        <v>953</v>
      </c>
      <c r="F125" s="27" t="s">
        <v>1044</v>
      </c>
      <c r="G125" s="27" t="s">
        <v>1045</v>
      </c>
      <c r="H125" s="27" t="s">
        <v>1046</v>
      </c>
      <c r="K125" s="27" t="s">
        <v>1047</v>
      </c>
      <c r="L125" s="28">
        <v>45827</v>
      </c>
      <c r="M125" s="31">
        <v>-53.55</v>
      </c>
      <c r="N125" s="27" t="s">
        <v>109</v>
      </c>
      <c r="O125" s="27" t="s">
        <v>244</v>
      </c>
      <c r="Q125" s="27" t="s">
        <v>1048</v>
      </c>
    </row>
    <row r="126" spans="1:17" x14ac:dyDescent="0.2">
      <c r="A126" s="27" t="s">
        <v>104</v>
      </c>
      <c r="B126" s="27" t="s">
        <v>5</v>
      </c>
      <c r="C126" s="29"/>
      <c r="D126" s="30">
        <v>45828</v>
      </c>
      <c r="E126" s="27" t="s">
        <v>953</v>
      </c>
      <c r="F126" s="27" t="s">
        <v>1039</v>
      </c>
      <c r="G126" s="27" t="s">
        <v>1040</v>
      </c>
      <c r="H126" s="27" t="s">
        <v>1041</v>
      </c>
      <c r="I126" s="27" t="s">
        <v>1042</v>
      </c>
      <c r="J126" s="27" t="s">
        <v>950</v>
      </c>
      <c r="K126" s="27" t="s">
        <v>1043</v>
      </c>
      <c r="L126" s="28">
        <v>45828</v>
      </c>
      <c r="M126" s="31">
        <v>40</v>
      </c>
      <c r="N126" s="27" t="s">
        <v>109</v>
      </c>
      <c r="O126" s="27" t="s">
        <v>143</v>
      </c>
      <c r="P126" s="27" t="s">
        <v>117</v>
      </c>
      <c r="Q126" s="27" t="s">
        <v>520</v>
      </c>
    </row>
    <row r="127" spans="1:17" x14ac:dyDescent="0.2">
      <c r="A127" s="27" t="s">
        <v>104</v>
      </c>
      <c r="B127" s="27" t="s">
        <v>28</v>
      </c>
      <c r="C127" s="27"/>
      <c r="D127" s="30">
        <v>45832</v>
      </c>
      <c r="E127" s="27" t="s">
        <v>953</v>
      </c>
      <c r="F127" s="27" t="s">
        <v>1037</v>
      </c>
      <c r="G127" s="27" t="s">
        <v>29</v>
      </c>
      <c r="H127" s="27" t="s">
        <v>30</v>
      </c>
      <c r="I127" s="27" t="s">
        <v>152</v>
      </c>
      <c r="J127" s="27" t="s">
        <v>153</v>
      </c>
      <c r="K127" s="27" t="s">
        <v>1038</v>
      </c>
      <c r="L127" s="28">
        <v>45832</v>
      </c>
      <c r="M127" s="31">
        <v>-500</v>
      </c>
      <c r="N127" s="27" t="s">
        <v>109</v>
      </c>
      <c r="O127" s="27" t="s">
        <v>124</v>
      </c>
      <c r="P127" s="27" t="s">
        <v>117</v>
      </c>
      <c r="Q127" s="27" t="s">
        <v>1038</v>
      </c>
    </row>
    <row r="128" spans="1:17" x14ac:dyDescent="0.2">
      <c r="A128" s="27" t="s">
        <v>104</v>
      </c>
      <c r="B128" s="27" t="s">
        <v>6</v>
      </c>
      <c r="C128" s="27"/>
      <c r="D128" s="30">
        <v>45833</v>
      </c>
      <c r="E128" s="27" t="s">
        <v>953</v>
      </c>
      <c r="F128" s="27" t="s">
        <v>1034</v>
      </c>
      <c r="H128" s="27" t="s">
        <v>1035</v>
      </c>
      <c r="J128" s="27" t="s">
        <v>1036</v>
      </c>
      <c r="K128" s="27" t="s">
        <v>1573</v>
      </c>
      <c r="L128" s="28">
        <v>45833</v>
      </c>
      <c r="M128" s="31">
        <v>-16</v>
      </c>
      <c r="N128" s="27" t="s">
        <v>109</v>
      </c>
      <c r="P128" s="27" t="s">
        <v>110</v>
      </c>
      <c r="Q128" s="27" t="s">
        <v>1573</v>
      </c>
    </row>
    <row r="129" spans="1:17" x14ac:dyDescent="0.2">
      <c r="A129" s="27" t="s">
        <v>104</v>
      </c>
      <c r="B129" s="27" t="s">
        <v>13</v>
      </c>
      <c r="C129" s="27"/>
      <c r="D129" s="30">
        <v>45835</v>
      </c>
      <c r="E129" s="27" t="s">
        <v>953</v>
      </c>
      <c r="F129" s="27" t="s">
        <v>1031</v>
      </c>
      <c r="G129" s="27" t="s">
        <v>14</v>
      </c>
      <c r="H129" s="27" t="s">
        <v>53</v>
      </c>
      <c r="K129" s="27" t="s">
        <v>1032</v>
      </c>
      <c r="L129" s="28">
        <v>45835</v>
      </c>
      <c r="M129" s="31">
        <v>-1400</v>
      </c>
      <c r="N129" s="27" t="s">
        <v>109</v>
      </c>
      <c r="O129" s="27" t="s">
        <v>124</v>
      </c>
      <c r="Q129" s="27" t="s">
        <v>1033</v>
      </c>
    </row>
    <row r="130" spans="1:17" x14ac:dyDescent="0.2">
      <c r="A130" s="27" t="s">
        <v>104</v>
      </c>
      <c r="B130" s="27" t="s">
        <v>32</v>
      </c>
      <c r="C130" s="27"/>
      <c r="D130" s="30">
        <v>45839</v>
      </c>
      <c r="E130" s="27" t="s">
        <v>953</v>
      </c>
      <c r="F130" s="27" t="s">
        <v>1028</v>
      </c>
      <c r="G130" s="27" t="s">
        <v>14</v>
      </c>
      <c r="H130" s="27" t="s">
        <v>363</v>
      </c>
      <c r="I130" s="27" t="s">
        <v>364</v>
      </c>
      <c r="J130" s="27" t="s">
        <v>365</v>
      </c>
      <c r="K130" s="27" t="s">
        <v>1029</v>
      </c>
      <c r="L130" s="28">
        <v>45839</v>
      </c>
      <c r="M130" s="31">
        <v>218.7</v>
      </c>
      <c r="N130" s="27" t="s">
        <v>109</v>
      </c>
      <c r="O130" s="27" t="s">
        <v>124</v>
      </c>
      <c r="P130" s="27" t="s">
        <v>117</v>
      </c>
      <c r="Q130" s="27" t="s">
        <v>1030</v>
      </c>
    </row>
    <row r="131" spans="1:17" x14ac:dyDescent="0.2">
      <c r="A131" s="27" t="s">
        <v>104</v>
      </c>
      <c r="B131" s="27" t="s">
        <v>54</v>
      </c>
      <c r="C131" s="27"/>
      <c r="D131" s="30">
        <v>45840</v>
      </c>
      <c r="E131" s="27" t="s">
        <v>953</v>
      </c>
      <c r="F131" s="27" t="s">
        <v>1024</v>
      </c>
      <c r="H131" s="27" t="s">
        <v>1025</v>
      </c>
      <c r="J131" s="27" t="s">
        <v>1026</v>
      </c>
      <c r="K131" s="27" t="s">
        <v>1027</v>
      </c>
      <c r="L131" s="28">
        <v>45840</v>
      </c>
      <c r="M131" s="31">
        <v>-7.6</v>
      </c>
      <c r="N131" s="27" t="s">
        <v>109</v>
      </c>
      <c r="P131" s="27" t="s">
        <v>117</v>
      </c>
      <c r="Q131" s="27" t="s">
        <v>1027</v>
      </c>
    </row>
    <row r="132" spans="1:17" x14ac:dyDescent="0.2">
      <c r="A132" s="27" t="s">
        <v>104</v>
      </c>
      <c r="B132" s="27" t="s">
        <v>32</v>
      </c>
      <c r="C132" s="27"/>
      <c r="D132" s="30">
        <v>45840</v>
      </c>
      <c r="E132" s="27" t="s">
        <v>953</v>
      </c>
      <c r="F132" s="27" t="s">
        <v>1021</v>
      </c>
      <c r="G132" s="27" t="s">
        <v>14</v>
      </c>
      <c r="H132" s="27" t="s">
        <v>363</v>
      </c>
      <c r="I132" s="27" t="s">
        <v>364</v>
      </c>
      <c r="J132" s="27" t="s">
        <v>365</v>
      </c>
      <c r="K132" s="27" t="s">
        <v>1022</v>
      </c>
      <c r="L132" s="28">
        <v>45840</v>
      </c>
      <c r="M132" s="31">
        <v>7.6</v>
      </c>
      <c r="N132" s="27" t="s">
        <v>109</v>
      </c>
      <c r="O132" s="27" t="s">
        <v>124</v>
      </c>
      <c r="P132" s="27" t="s">
        <v>117</v>
      </c>
      <c r="Q132" s="27" t="s">
        <v>1023</v>
      </c>
    </row>
    <row r="133" spans="1:17" x14ac:dyDescent="0.2">
      <c r="A133" s="27" t="s">
        <v>104</v>
      </c>
      <c r="B133" s="27" t="s">
        <v>5</v>
      </c>
      <c r="C133" s="29" t="s">
        <v>1593</v>
      </c>
      <c r="D133" s="30">
        <v>45841</v>
      </c>
      <c r="E133" s="27" t="s">
        <v>953</v>
      </c>
      <c r="F133" s="27" t="s">
        <v>982</v>
      </c>
      <c r="G133" s="27" t="s">
        <v>10</v>
      </c>
      <c r="H133" s="27" t="s">
        <v>294</v>
      </c>
      <c r="I133" s="27" t="s">
        <v>295</v>
      </c>
      <c r="J133" s="27" t="s">
        <v>296</v>
      </c>
      <c r="K133" s="27" t="s">
        <v>1571</v>
      </c>
      <c r="L133" s="28">
        <v>45841</v>
      </c>
      <c r="M133" s="31">
        <v>3777.84</v>
      </c>
      <c r="N133" s="27" t="s">
        <v>109</v>
      </c>
      <c r="O133" s="27" t="s">
        <v>124</v>
      </c>
      <c r="P133" s="27" t="s">
        <v>117</v>
      </c>
      <c r="Q133" s="27" t="s">
        <v>1572</v>
      </c>
    </row>
    <row r="134" spans="1:17" x14ac:dyDescent="0.2">
      <c r="A134" s="27" t="s">
        <v>104</v>
      </c>
      <c r="B134" s="27" t="s">
        <v>5</v>
      </c>
      <c r="C134" s="29" t="s">
        <v>1593</v>
      </c>
      <c r="D134" s="30">
        <v>45841</v>
      </c>
      <c r="E134" s="27" t="s">
        <v>953</v>
      </c>
      <c r="F134" s="27" t="s">
        <v>992</v>
      </c>
      <c r="G134" s="27" t="s">
        <v>993</v>
      </c>
      <c r="H134" s="27" t="s">
        <v>994</v>
      </c>
      <c r="I134" s="27" t="s">
        <v>995</v>
      </c>
      <c r="J134" s="27" t="s">
        <v>789</v>
      </c>
      <c r="K134" s="27" t="s">
        <v>996</v>
      </c>
      <c r="L134" s="28">
        <v>45840</v>
      </c>
      <c r="M134" s="31">
        <v>104</v>
      </c>
      <c r="N134" s="27" t="s">
        <v>109</v>
      </c>
      <c r="O134" s="27" t="s">
        <v>124</v>
      </c>
      <c r="P134" s="27" t="s">
        <v>117</v>
      </c>
      <c r="Q134" s="27" t="s">
        <v>997</v>
      </c>
    </row>
    <row r="135" spans="1:17" x14ac:dyDescent="0.2">
      <c r="A135" s="27" t="s">
        <v>104</v>
      </c>
      <c r="B135" s="27" t="s">
        <v>5</v>
      </c>
      <c r="C135" s="29" t="s">
        <v>1593</v>
      </c>
      <c r="D135" s="30">
        <v>45841</v>
      </c>
      <c r="E135" s="27" t="s">
        <v>953</v>
      </c>
      <c r="F135" s="27" t="s">
        <v>983</v>
      </c>
      <c r="G135" s="27" t="s">
        <v>984</v>
      </c>
      <c r="H135" s="27" t="s">
        <v>985</v>
      </c>
      <c r="I135" s="27" t="s">
        <v>986</v>
      </c>
      <c r="J135" s="27" t="s">
        <v>313</v>
      </c>
      <c r="K135" s="27" t="s">
        <v>987</v>
      </c>
      <c r="L135" s="28">
        <v>45841</v>
      </c>
      <c r="M135" s="31">
        <v>95</v>
      </c>
      <c r="N135" s="27" t="s">
        <v>109</v>
      </c>
      <c r="O135" s="27" t="s">
        <v>186</v>
      </c>
      <c r="P135" s="27" t="s">
        <v>117</v>
      </c>
      <c r="Q135" s="27" t="s">
        <v>988</v>
      </c>
    </row>
    <row r="136" spans="1:17" x14ac:dyDescent="0.2">
      <c r="A136" s="27" t="s">
        <v>104</v>
      </c>
      <c r="B136" s="27" t="s">
        <v>5</v>
      </c>
      <c r="C136" s="29" t="s">
        <v>1593</v>
      </c>
      <c r="D136" s="30">
        <v>45841</v>
      </c>
      <c r="E136" s="27" t="s">
        <v>953</v>
      </c>
      <c r="F136" s="27" t="s">
        <v>972</v>
      </c>
      <c r="G136" s="27" t="s">
        <v>35</v>
      </c>
      <c r="H136" s="27" t="s">
        <v>36</v>
      </c>
      <c r="I136" s="27" t="s">
        <v>234</v>
      </c>
      <c r="J136" s="27" t="s">
        <v>235</v>
      </c>
      <c r="K136" s="27" t="s">
        <v>973</v>
      </c>
      <c r="L136" s="28">
        <v>45841</v>
      </c>
      <c r="M136" s="31">
        <v>83.13</v>
      </c>
      <c r="N136" s="27" t="s">
        <v>109</v>
      </c>
      <c r="O136" s="27" t="s">
        <v>199</v>
      </c>
      <c r="P136" s="27" t="s">
        <v>117</v>
      </c>
      <c r="Q136" s="27" t="s">
        <v>974</v>
      </c>
    </row>
    <row r="137" spans="1:17" x14ac:dyDescent="0.2">
      <c r="A137" s="27" t="s">
        <v>104</v>
      </c>
      <c r="B137" s="27" t="s">
        <v>5</v>
      </c>
      <c r="C137" s="29"/>
      <c r="D137" s="30">
        <v>45841</v>
      </c>
      <c r="E137" s="27" t="s">
        <v>953</v>
      </c>
      <c r="F137" s="27" t="s">
        <v>989</v>
      </c>
      <c r="G137" s="27" t="s">
        <v>813</v>
      </c>
      <c r="H137" s="27" t="s">
        <v>814</v>
      </c>
      <c r="J137" s="27" t="s">
        <v>604</v>
      </c>
      <c r="K137" s="27" t="s">
        <v>990</v>
      </c>
      <c r="L137" s="28">
        <v>45841</v>
      </c>
      <c r="M137" s="31">
        <v>40</v>
      </c>
      <c r="N137" s="27" t="s">
        <v>109</v>
      </c>
      <c r="O137" s="27" t="s">
        <v>816</v>
      </c>
      <c r="P137" s="27" t="s">
        <v>817</v>
      </c>
      <c r="Q137" s="27" t="s">
        <v>991</v>
      </c>
    </row>
    <row r="138" spans="1:17" x14ac:dyDescent="0.2">
      <c r="A138" s="27" t="s">
        <v>104</v>
      </c>
      <c r="B138" s="27" t="s">
        <v>5</v>
      </c>
      <c r="C138" s="29" t="s">
        <v>1593</v>
      </c>
      <c r="D138" s="30">
        <v>45841</v>
      </c>
      <c r="E138" s="27" t="s">
        <v>953</v>
      </c>
      <c r="F138" s="27" t="s">
        <v>975</v>
      </c>
      <c r="G138" s="27" t="s">
        <v>976</v>
      </c>
      <c r="H138" s="27" t="s">
        <v>977</v>
      </c>
      <c r="I138" s="27" t="s">
        <v>978</v>
      </c>
      <c r="J138" s="27" t="s">
        <v>979</v>
      </c>
      <c r="K138" s="27" t="s">
        <v>980</v>
      </c>
      <c r="L138" s="28">
        <v>45841</v>
      </c>
      <c r="M138" s="31">
        <v>22</v>
      </c>
      <c r="N138" s="27" t="s">
        <v>109</v>
      </c>
      <c r="O138" s="27" t="s">
        <v>614</v>
      </c>
      <c r="P138" s="27" t="s">
        <v>117</v>
      </c>
      <c r="Q138" s="27" t="s">
        <v>981</v>
      </c>
    </row>
    <row r="139" spans="1:17" x14ac:dyDescent="0.2">
      <c r="A139" s="27" t="s">
        <v>104</v>
      </c>
      <c r="B139" s="27" t="s">
        <v>5</v>
      </c>
      <c r="C139" s="29" t="s">
        <v>1593</v>
      </c>
      <c r="D139" s="30">
        <v>45841</v>
      </c>
      <c r="E139" s="27" t="s">
        <v>953</v>
      </c>
      <c r="F139" s="27" t="s">
        <v>998</v>
      </c>
      <c r="G139" s="27" t="s">
        <v>999</v>
      </c>
      <c r="H139" s="27" t="s">
        <v>1000</v>
      </c>
      <c r="I139" s="27" t="s">
        <v>1001</v>
      </c>
      <c r="J139" s="27" t="s">
        <v>829</v>
      </c>
      <c r="K139" s="27" t="s">
        <v>1002</v>
      </c>
      <c r="L139" s="28">
        <v>45840</v>
      </c>
      <c r="M139" s="31">
        <v>14</v>
      </c>
      <c r="N139" s="27" t="s">
        <v>109</v>
      </c>
      <c r="O139" s="27" t="s">
        <v>186</v>
      </c>
      <c r="P139" s="27" t="s">
        <v>117</v>
      </c>
      <c r="Q139" s="27" t="s">
        <v>1003</v>
      </c>
    </row>
    <row r="140" spans="1:17" x14ac:dyDescent="0.2">
      <c r="A140" s="27" t="s">
        <v>104</v>
      </c>
      <c r="B140" s="27" t="s">
        <v>5</v>
      </c>
      <c r="C140" s="29" t="s">
        <v>1593</v>
      </c>
      <c r="D140" s="30">
        <v>45841</v>
      </c>
      <c r="E140" s="27" t="s">
        <v>953</v>
      </c>
      <c r="F140" s="27" t="s">
        <v>1014</v>
      </c>
      <c r="G140" s="27" t="s">
        <v>1015</v>
      </c>
      <c r="H140" s="27" t="s">
        <v>1016</v>
      </c>
      <c r="I140" s="27" t="s">
        <v>1017</v>
      </c>
      <c r="J140" s="27" t="s">
        <v>1018</v>
      </c>
      <c r="K140" s="27" t="s">
        <v>1019</v>
      </c>
      <c r="L140" s="28">
        <v>45840</v>
      </c>
      <c r="M140" s="31">
        <v>14</v>
      </c>
      <c r="N140" s="27" t="s">
        <v>109</v>
      </c>
      <c r="O140" s="27" t="s">
        <v>199</v>
      </c>
      <c r="P140" s="27" t="s">
        <v>117</v>
      </c>
      <c r="Q140" s="27" t="s">
        <v>1020</v>
      </c>
    </row>
    <row r="141" spans="1:17" x14ac:dyDescent="0.2">
      <c r="A141" s="27" t="s">
        <v>104</v>
      </c>
      <c r="B141" s="27" t="s">
        <v>5</v>
      </c>
      <c r="C141" s="29" t="s">
        <v>1593</v>
      </c>
      <c r="D141" s="30">
        <v>45841</v>
      </c>
      <c r="E141" s="27" t="s">
        <v>953</v>
      </c>
      <c r="F141" s="27" t="s">
        <v>1004</v>
      </c>
      <c r="G141" s="27" t="s">
        <v>64</v>
      </c>
      <c r="H141" s="27" t="s">
        <v>65</v>
      </c>
      <c r="I141" s="27" t="s">
        <v>1005</v>
      </c>
      <c r="J141" s="27" t="s">
        <v>242</v>
      </c>
      <c r="K141" s="27" t="s">
        <v>1006</v>
      </c>
      <c r="L141" s="28">
        <v>45840</v>
      </c>
      <c r="M141" s="31">
        <v>7</v>
      </c>
      <c r="N141" s="27" t="s">
        <v>109</v>
      </c>
      <c r="O141" s="27" t="s">
        <v>244</v>
      </c>
      <c r="P141" s="27" t="s">
        <v>117</v>
      </c>
      <c r="Q141" s="27" t="s">
        <v>1007</v>
      </c>
    </row>
    <row r="142" spans="1:17" x14ac:dyDescent="0.2">
      <c r="A142" s="27" t="s">
        <v>104</v>
      </c>
      <c r="B142" s="27" t="s">
        <v>5</v>
      </c>
      <c r="C142" s="29" t="s">
        <v>1593</v>
      </c>
      <c r="D142" s="30">
        <v>45841</v>
      </c>
      <c r="E142" s="27" t="s">
        <v>953</v>
      </c>
      <c r="F142" s="27" t="s">
        <v>1008</v>
      </c>
      <c r="G142" s="27" t="s">
        <v>1009</v>
      </c>
      <c r="H142" s="27" t="s">
        <v>1010</v>
      </c>
      <c r="I142" s="27" t="s">
        <v>1011</v>
      </c>
      <c r="J142" s="27" t="s">
        <v>926</v>
      </c>
      <c r="K142" s="27" t="s">
        <v>1012</v>
      </c>
      <c r="L142" s="28">
        <v>45840</v>
      </c>
      <c r="M142" s="31">
        <v>7</v>
      </c>
      <c r="N142" s="27" t="s">
        <v>109</v>
      </c>
      <c r="O142" s="27" t="s">
        <v>199</v>
      </c>
      <c r="P142" s="27" t="s">
        <v>117</v>
      </c>
      <c r="Q142" s="27" t="s">
        <v>1013</v>
      </c>
    </row>
    <row r="143" spans="1:17" x14ac:dyDescent="0.2">
      <c r="A143" s="27" t="s">
        <v>104</v>
      </c>
      <c r="B143" s="27" t="s">
        <v>5</v>
      </c>
      <c r="C143" s="29" t="s">
        <v>1593</v>
      </c>
      <c r="D143" s="30">
        <v>45842</v>
      </c>
      <c r="E143" s="27" t="s">
        <v>953</v>
      </c>
      <c r="F143" s="27" t="s">
        <v>956</v>
      </c>
      <c r="G143" s="27" t="s">
        <v>800</v>
      </c>
      <c r="H143" s="27" t="s">
        <v>801</v>
      </c>
      <c r="I143" s="27" t="s">
        <v>802</v>
      </c>
      <c r="J143" s="27" t="s">
        <v>803</v>
      </c>
      <c r="K143" s="27" t="s">
        <v>957</v>
      </c>
      <c r="L143" s="28">
        <v>45842</v>
      </c>
      <c r="M143" s="31">
        <v>71</v>
      </c>
      <c r="N143" s="27" t="s">
        <v>109</v>
      </c>
      <c r="O143" s="27" t="s">
        <v>143</v>
      </c>
      <c r="P143" s="27" t="s">
        <v>117</v>
      </c>
      <c r="Q143" s="27" t="s">
        <v>958</v>
      </c>
    </row>
    <row r="144" spans="1:17" x14ac:dyDescent="0.2">
      <c r="A144" s="27" t="s">
        <v>104</v>
      </c>
      <c r="B144" s="27" t="s">
        <v>1591</v>
      </c>
      <c r="C144" s="27"/>
      <c r="D144" s="30">
        <v>45842</v>
      </c>
      <c r="E144" s="27" t="s">
        <v>953</v>
      </c>
      <c r="F144" s="27" t="s">
        <v>954</v>
      </c>
      <c r="G144" s="27" t="s">
        <v>9</v>
      </c>
      <c r="K144" s="27" t="s">
        <v>955</v>
      </c>
      <c r="L144" s="28">
        <v>45842</v>
      </c>
      <c r="M144" s="31">
        <v>-218.7</v>
      </c>
      <c r="N144" s="27" t="s">
        <v>109</v>
      </c>
      <c r="O144" s="27" t="s">
        <v>318</v>
      </c>
      <c r="P144" s="27" t="s">
        <v>117</v>
      </c>
      <c r="Q144" s="27" t="s">
        <v>955</v>
      </c>
    </row>
    <row r="145" spans="1:17" x14ac:dyDescent="0.2">
      <c r="A145" s="27" t="s">
        <v>104</v>
      </c>
      <c r="B145" s="27" t="s">
        <v>12</v>
      </c>
      <c r="C145" s="27"/>
      <c r="D145" s="30">
        <v>45842</v>
      </c>
      <c r="E145" s="27" t="s">
        <v>953</v>
      </c>
      <c r="F145" s="27" t="s">
        <v>965</v>
      </c>
      <c r="K145" s="27" t="s">
        <v>1570</v>
      </c>
      <c r="L145" s="28">
        <v>45839</v>
      </c>
      <c r="M145" s="31">
        <v>-7.5</v>
      </c>
      <c r="N145" s="27" t="s">
        <v>109</v>
      </c>
      <c r="Q145" s="27" t="s">
        <v>1570</v>
      </c>
    </row>
    <row r="146" spans="1:17" x14ac:dyDescent="0.2">
      <c r="A146" s="27" t="s">
        <v>104</v>
      </c>
      <c r="B146" s="27" t="s">
        <v>5</v>
      </c>
      <c r="C146" s="29"/>
      <c r="D146" s="30">
        <v>45842</v>
      </c>
      <c r="E146" s="27" t="s">
        <v>953</v>
      </c>
      <c r="F146" s="27" t="s">
        <v>959</v>
      </c>
      <c r="G146" s="27" t="s">
        <v>960</v>
      </c>
      <c r="H146" s="27" t="s">
        <v>961</v>
      </c>
      <c r="I146" s="27" t="s">
        <v>962</v>
      </c>
      <c r="J146" s="27" t="s">
        <v>749</v>
      </c>
      <c r="K146" s="27" t="s">
        <v>963</v>
      </c>
      <c r="L146" s="28">
        <v>45842</v>
      </c>
      <c r="M146" s="31">
        <v>40</v>
      </c>
      <c r="N146" s="27" t="s">
        <v>109</v>
      </c>
      <c r="O146" s="27" t="s">
        <v>143</v>
      </c>
      <c r="P146" s="27" t="s">
        <v>117</v>
      </c>
      <c r="Q146" s="27" t="s">
        <v>964</v>
      </c>
    </row>
    <row r="147" spans="1:17" x14ac:dyDescent="0.2">
      <c r="A147" s="27" t="s">
        <v>104</v>
      </c>
      <c r="B147" s="27" t="s">
        <v>5</v>
      </c>
      <c r="C147" s="29" t="s">
        <v>1593</v>
      </c>
      <c r="D147" s="30">
        <v>45842</v>
      </c>
      <c r="E147" s="27" t="s">
        <v>953</v>
      </c>
      <c r="F147" s="27" t="s">
        <v>966</v>
      </c>
      <c r="G147" s="27" t="s">
        <v>967</v>
      </c>
      <c r="H147" s="27" t="s">
        <v>968</v>
      </c>
      <c r="I147" s="27" t="s">
        <v>969</v>
      </c>
      <c r="J147" s="27" t="s">
        <v>159</v>
      </c>
      <c r="K147" s="27" t="s">
        <v>970</v>
      </c>
      <c r="L147" s="28">
        <v>45841</v>
      </c>
      <c r="M147" s="31">
        <v>9</v>
      </c>
      <c r="N147" s="27" t="s">
        <v>109</v>
      </c>
      <c r="O147" s="27" t="s">
        <v>244</v>
      </c>
      <c r="P147" s="27" t="s">
        <v>117</v>
      </c>
      <c r="Q147" s="27" t="s">
        <v>971</v>
      </c>
    </row>
    <row r="148" spans="1:17" x14ac:dyDescent="0.2">
      <c r="A148" s="27" t="s">
        <v>104</v>
      </c>
      <c r="B148" s="27" t="s">
        <v>5</v>
      </c>
      <c r="C148" s="29" t="s">
        <v>1593</v>
      </c>
      <c r="D148" s="30">
        <v>45845</v>
      </c>
      <c r="E148" s="27" t="s">
        <v>733</v>
      </c>
      <c r="F148" s="27" t="s">
        <v>943</v>
      </c>
      <c r="G148" s="27" t="s">
        <v>19</v>
      </c>
      <c r="H148" s="27" t="s">
        <v>75</v>
      </c>
      <c r="I148" s="27" t="s">
        <v>529</v>
      </c>
      <c r="J148" s="27" t="s">
        <v>530</v>
      </c>
      <c r="K148" s="27" t="s">
        <v>944</v>
      </c>
      <c r="L148" s="28">
        <v>45845</v>
      </c>
      <c r="M148" s="31">
        <v>903.54</v>
      </c>
      <c r="N148" s="27" t="s">
        <v>109</v>
      </c>
      <c r="O148" s="27" t="s">
        <v>143</v>
      </c>
      <c r="P148" s="27" t="s">
        <v>117</v>
      </c>
      <c r="Q148" s="27" t="s">
        <v>945</v>
      </c>
    </row>
    <row r="149" spans="1:17" x14ac:dyDescent="0.2">
      <c r="A149" s="27" t="s">
        <v>104</v>
      </c>
      <c r="B149" s="27" t="s">
        <v>5</v>
      </c>
      <c r="C149" s="29" t="s">
        <v>1593</v>
      </c>
      <c r="D149" s="30">
        <v>45845</v>
      </c>
      <c r="E149" s="27" t="s">
        <v>733</v>
      </c>
      <c r="F149" s="27" t="s">
        <v>938</v>
      </c>
      <c r="G149" s="27" t="s">
        <v>771</v>
      </c>
      <c r="H149" s="27" t="s">
        <v>772</v>
      </c>
      <c r="I149" s="27" t="s">
        <v>939</v>
      </c>
      <c r="J149" s="27" t="s">
        <v>940</v>
      </c>
      <c r="K149" s="27" t="s">
        <v>941</v>
      </c>
      <c r="L149" s="28">
        <v>45845</v>
      </c>
      <c r="M149" s="31">
        <v>95</v>
      </c>
      <c r="N149" s="27" t="s">
        <v>109</v>
      </c>
      <c r="O149" s="27" t="s">
        <v>244</v>
      </c>
      <c r="P149" s="27" t="s">
        <v>117</v>
      </c>
      <c r="Q149" s="27" t="s">
        <v>942</v>
      </c>
    </row>
    <row r="150" spans="1:17" x14ac:dyDescent="0.2">
      <c r="A150" s="27" t="s">
        <v>104</v>
      </c>
      <c r="B150" s="27" t="s">
        <v>5</v>
      </c>
      <c r="C150" s="29" t="s">
        <v>1593</v>
      </c>
      <c r="D150" s="30">
        <v>45845</v>
      </c>
      <c r="E150" s="27" t="s">
        <v>733</v>
      </c>
      <c r="F150" s="27" t="s">
        <v>946</v>
      </c>
      <c r="G150" s="27" t="s">
        <v>947</v>
      </c>
      <c r="H150" s="27" t="s">
        <v>948</v>
      </c>
      <c r="I150" s="27" t="s">
        <v>949</v>
      </c>
      <c r="J150" s="27" t="s">
        <v>950</v>
      </c>
      <c r="K150" s="27" t="s">
        <v>951</v>
      </c>
      <c r="L150" s="28">
        <v>45844</v>
      </c>
      <c r="M150" s="31">
        <v>14</v>
      </c>
      <c r="N150" s="27" t="s">
        <v>109</v>
      </c>
      <c r="O150" s="27" t="s">
        <v>244</v>
      </c>
      <c r="P150" s="27" t="s">
        <v>117</v>
      </c>
      <c r="Q150" s="27" t="s">
        <v>952</v>
      </c>
    </row>
    <row r="151" spans="1:17" x14ac:dyDescent="0.2">
      <c r="A151" s="27" t="s">
        <v>104</v>
      </c>
      <c r="B151" s="27" t="s">
        <v>5</v>
      </c>
      <c r="C151" s="29" t="s">
        <v>1593</v>
      </c>
      <c r="D151" s="30">
        <v>45846</v>
      </c>
      <c r="E151" s="27" t="s">
        <v>733</v>
      </c>
      <c r="F151" s="27" t="s">
        <v>922</v>
      </c>
      <c r="G151" s="27" t="s">
        <v>923</v>
      </c>
      <c r="H151" s="27" t="s">
        <v>924</v>
      </c>
      <c r="I151" s="27" t="s">
        <v>925</v>
      </c>
      <c r="J151" s="27" t="s">
        <v>926</v>
      </c>
      <c r="K151" s="27" t="s">
        <v>927</v>
      </c>
      <c r="L151" s="28">
        <v>45846</v>
      </c>
      <c r="M151" s="31">
        <v>71</v>
      </c>
      <c r="N151" s="27" t="s">
        <v>109</v>
      </c>
      <c r="O151" s="27" t="s">
        <v>199</v>
      </c>
      <c r="P151" s="27" t="s">
        <v>117</v>
      </c>
      <c r="Q151" s="27" t="s">
        <v>928</v>
      </c>
    </row>
    <row r="152" spans="1:17" x14ac:dyDescent="0.2">
      <c r="A152" s="27" t="s">
        <v>104</v>
      </c>
      <c r="B152" s="27" t="s">
        <v>5</v>
      </c>
      <c r="C152" s="29" t="s">
        <v>1593</v>
      </c>
      <c r="D152" s="30">
        <v>45846</v>
      </c>
      <c r="E152" s="27" t="s">
        <v>733</v>
      </c>
      <c r="F152" s="27" t="s">
        <v>915</v>
      </c>
      <c r="G152" s="27" t="s">
        <v>15</v>
      </c>
      <c r="H152" s="27" t="s">
        <v>16</v>
      </c>
      <c r="I152" s="27" t="s">
        <v>196</v>
      </c>
      <c r="J152" s="27" t="s">
        <v>197</v>
      </c>
      <c r="K152" s="27" t="s">
        <v>916</v>
      </c>
      <c r="L152" s="28">
        <v>45846</v>
      </c>
      <c r="M152" s="31">
        <v>42.92</v>
      </c>
      <c r="N152" s="27" t="s">
        <v>109</v>
      </c>
      <c r="O152" s="27" t="s">
        <v>199</v>
      </c>
      <c r="P152" s="27" t="s">
        <v>117</v>
      </c>
      <c r="Q152" s="27" t="s">
        <v>917</v>
      </c>
    </row>
    <row r="153" spans="1:17" x14ac:dyDescent="0.2">
      <c r="A153" s="27" t="s">
        <v>104</v>
      </c>
      <c r="B153" s="27" t="s">
        <v>5</v>
      </c>
      <c r="C153" s="29" t="s">
        <v>1593</v>
      </c>
      <c r="D153" s="30">
        <v>45846</v>
      </c>
      <c r="E153" s="27" t="s">
        <v>733</v>
      </c>
      <c r="F153" s="27" t="s">
        <v>929</v>
      </c>
      <c r="G153" s="27" t="s">
        <v>930</v>
      </c>
      <c r="H153" s="27" t="s">
        <v>931</v>
      </c>
      <c r="I153" s="27" t="s">
        <v>932</v>
      </c>
      <c r="J153" s="27" t="s">
        <v>359</v>
      </c>
      <c r="K153" s="27" t="s">
        <v>933</v>
      </c>
      <c r="L153" s="28">
        <v>45846</v>
      </c>
      <c r="M153" s="31">
        <v>42</v>
      </c>
      <c r="N153" s="27" t="s">
        <v>109</v>
      </c>
      <c r="O153" s="27" t="s">
        <v>143</v>
      </c>
      <c r="P153" s="27" t="s">
        <v>117</v>
      </c>
      <c r="Q153" s="27" t="s">
        <v>934</v>
      </c>
    </row>
    <row r="154" spans="1:17" x14ac:dyDescent="0.2">
      <c r="A154" s="27" t="s">
        <v>104</v>
      </c>
      <c r="B154" s="27" t="s">
        <v>8</v>
      </c>
      <c r="C154" s="27"/>
      <c r="D154" s="30">
        <v>45846</v>
      </c>
      <c r="E154" s="27" t="s">
        <v>733</v>
      </c>
      <c r="F154" s="27" t="s">
        <v>918</v>
      </c>
      <c r="H154" s="27" t="s">
        <v>919</v>
      </c>
      <c r="J154" s="27" t="s">
        <v>920</v>
      </c>
      <c r="K154" s="27" t="s">
        <v>921</v>
      </c>
      <c r="L154" s="28">
        <v>45846</v>
      </c>
      <c r="M154" s="31">
        <v>-63.85</v>
      </c>
      <c r="N154" s="27" t="s">
        <v>109</v>
      </c>
      <c r="P154" s="27" t="s">
        <v>117</v>
      </c>
      <c r="Q154" s="27" t="s">
        <v>921</v>
      </c>
    </row>
    <row r="155" spans="1:17" x14ac:dyDescent="0.2">
      <c r="A155" s="27" t="s">
        <v>104</v>
      </c>
      <c r="B155" s="27" t="s">
        <v>5</v>
      </c>
      <c r="C155" s="29" t="s">
        <v>1593</v>
      </c>
      <c r="D155" s="30">
        <v>45846</v>
      </c>
      <c r="E155" s="27" t="s">
        <v>733</v>
      </c>
      <c r="F155" s="27" t="s">
        <v>909</v>
      </c>
      <c r="G155" s="27" t="s">
        <v>910</v>
      </c>
      <c r="H155" s="27" t="s">
        <v>911</v>
      </c>
      <c r="I155" s="27" t="s">
        <v>912</v>
      </c>
      <c r="J155" s="27" t="s">
        <v>313</v>
      </c>
      <c r="K155" s="27" t="s">
        <v>913</v>
      </c>
      <c r="L155" s="28">
        <v>45846</v>
      </c>
      <c r="M155" s="31">
        <v>9</v>
      </c>
      <c r="N155" s="27" t="s">
        <v>109</v>
      </c>
      <c r="O155" s="27" t="s">
        <v>244</v>
      </c>
      <c r="P155" s="27" t="s">
        <v>117</v>
      </c>
      <c r="Q155" s="27" t="s">
        <v>914</v>
      </c>
    </row>
    <row r="156" spans="1:17" x14ac:dyDescent="0.2">
      <c r="A156" s="27" t="s">
        <v>104</v>
      </c>
      <c r="B156" s="27" t="s">
        <v>5</v>
      </c>
      <c r="C156" s="29" t="s">
        <v>1593</v>
      </c>
      <c r="D156" s="30">
        <v>45846</v>
      </c>
      <c r="E156" s="27" t="s">
        <v>733</v>
      </c>
      <c r="F156" s="27" t="s">
        <v>935</v>
      </c>
      <c r="G156" s="27" t="s">
        <v>780</v>
      </c>
      <c r="H156" s="27" t="s">
        <v>781</v>
      </c>
      <c r="I156" s="27" t="s">
        <v>782</v>
      </c>
      <c r="J156" s="27" t="s">
        <v>726</v>
      </c>
      <c r="K156" s="27" t="s">
        <v>936</v>
      </c>
      <c r="L156" s="28">
        <v>45845</v>
      </c>
      <c r="M156" s="31">
        <v>7</v>
      </c>
      <c r="N156" s="27" t="s">
        <v>109</v>
      </c>
      <c r="O156" s="27" t="s">
        <v>199</v>
      </c>
      <c r="P156" s="27" t="s">
        <v>117</v>
      </c>
      <c r="Q156" s="27" t="s">
        <v>937</v>
      </c>
    </row>
    <row r="157" spans="1:17" x14ac:dyDescent="0.2">
      <c r="A157" s="27" t="s">
        <v>104</v>
      </c>
      <c r="B157" s="27" t="s">
        <v>5</v>
      </c>
      <c r="C157" s="27"/>
      <c r="D157" s="30">
        <v>45849</v>
      </c>
      <c r="E157" s="27" t="s">
        <v>733</v>
      </c>
      <c r="F157" s="27" t="s">
        <v>897</v>
      </c>
      <c r="G157" s="27" t="s">
        <v>78</v>
      </c>
      <c r="H157" s="27" t="s">
        <v>79</v>
      </c>
      <c r="I157" s="27" t="s">
        <v>135</v>
      </c>
      <c r="J157" s="27" t="s">
        <v>136</v>
      </c>
      <c r="K157" s="27" t="s">
        <v>898</v>
      </c>
      <c r="L157" s="28">
        <v>45849</v>
      </c>
      <c r="M157" s="31">
        <v>2062.6</v>
      </c>
      <c r="N157" s="27" t="s">
        <v>109</v>
      </c>
      <c r="O157" s="27" t="s">
        <v>124</v>
      </c>
      <c r="P157" s="27" t="s">
        <v>117</v>
      </c>
      <c r="Q157" s="27" t="s">
        <v>899</v>
      </c>
    </row>
    <row r="158" spans="1:17" x14ac:dyDescent="0.2">
      <c r="A158" s="27" t="s">
        <v>104</v>
      </c>
      <c r="B158" s="27" t="s">
        <v>5</v>
      </c>
      <c r="C158" s="29" t="s">
        <v>1593</v>
      </c>
      <c r="D158" s="30">
        <v>45849</v>
      </c>
      <c r="E158" s="27" t="s">
        <v>733</v>
      </c>
      <c r="F158" s="27" t="s">
        <v>906</v>
      </c>
      <c r="G158" s="27" t="s">
        <v>901</v>
      </c>
      <c r="H158" s="27" t="s">
        <v>902</v>
      </c>
      <c r="I158" s="27" t="s">
        <v>903</v>
      </c>
      <c r="J158" s="27" t="s">
        <v>359</v>
      </c>
      <c r="K158" s="27" t="s">
        <v>907</v>
      </c>
      <c r="L158" s="28">
        <v>45849</v>
      </c>
      <c r="M158" s="31">
        <v>78</v>
      </c>
      <c r="N158" s="27" t="s">
        <v>109</v>
      </c>
      <c r="O158" s="27" t="s">
        <v>143</v>
      </c>
      <c r="P158" s="27" t="s">
        <v>117</v>
      </c>
      <c r="Q158" s="27" t="s">
        <v>908</v>
      </c>
    </row>
    <row r="159" spans="1:17" x14ac:dyDescent="0.2">
      <c r="A159" s="27" t="s">
        <v>104</v>
      </c>
      <c r="B159" s="27" t="s">
        <v>22</v>
      </c>
      <c r="C159" s="27"/>
      <c r="D159" s="30">
        <v>45849</v>
      </c>
      <c r="E159" s="27" t="s">
        <v>733</v>
      </c>
      <c r="F159" s="27" t="s">
        <v>895</v>
      </c>
      <c r="G159" s="27" t="s">
        <v>26</v>
      </c>
      <c r="H159" s="27" t="s">
        <v>27</v>
      </c>
      <c r="K159" s="27" t="s">
        <v>896</v>
      </c>
      <c r="L159" s="28">
        <v>45849</v>
      </c>
      <c r="M159" s="31">
        <v>-1753.17</v>
      </c>
      <c r="N159" s="27" t="s">
        <v>109</v>
      </c>
      <c r="O159" s="27" t="s">
        <v>124</v>
      </c>
      <c r="Q159" s="27" t="s">
        <v>376</v>
      </c>
    </row>
    <row r="160" spans="1:17" x14ac:dyDescent="0.2">
      <c r="A160" s="27" t="s">
        <v>104</v>
      </c>
      <c r="B160" s="27" t="s">
        <v>5</v>
      </c>
      <c r="C160" s="29" t="s">
        <v>1593</v>
      </c>
      <c r="D160" s="30">
        <v>45849</v>
      </c>
      <c r="E160" s="27" t="s">
        <v>733</v>
      </c>
      <c r="F160" s="27" t="s">
        <v>900</v>
      </c>
      <c r="G160" s="27" t="s">
        <v>901</v>
      </c>
      <c r="H160" s="27" t="s">
        <v>902</v>
      </c>
      <c r="I160" s="27" t="s">
        <v>903</v>
      </c>
      <c r="J160" s="27" t="s">
        <v>359</v>
      </c>
      <c r="K160" s="27" t="s">
        <v>904</v>
      </c>
      <c r="L160" s="28">
        <v>45849</v>
      </c>
      <c r="M160" s="31">
        <v>7</v>
      </c>
      <c r="N160" s="27" t="s">
        <v>109</v>
      </c>
      <c r="O160" s="27" t="s">
        <v>143</v>
      </c>
      <c r="P160" s="27" t="s">
        <v>117</v>
      </c>
      <c r="Q160" s="27" t="s">
        <v>905</v>
      </c>
    </row>
    <row r="161" spans="1:17" x14ac:dyDescent="0.2">
      <c r="A161" s="27" t="s">
        <v>104</v>
      </c>
      <c r="B161" s="27" t="s">
        <v>8</v>
      </c>
      <c r="C161" s="27"/>
      <c r="D161" s="30">
        <v>45852</v>
      </c>
      <c r="E161" s="27" t="s">
        <v>733</v>
      </c>
      <c r="F161" s="27" t="s">
        <v>881</v>
      </c>
      <c r="H161" s="27" t="s">
        <v>882</v>
      </c>
      <c r="J161" s="27" t="s">
        <v>883</v>
      </c>
      <c r="K161" s="27" t="s">
        <v>884</v>
      </c>
      <c r="L161" s="28">
        <v>45850</v>
      </c>
      <c r="M161" s="31">
        <v>-17.98</v>
      </c>
      <c r="N161" s="27" t="s">
        <v>109</v>
      </c>
      <c r="P161" s="27" t="s">
        <v>117</v>
      </c>
      <c r="Q161" s="27" t="s">
        <v>884</v>
      </c>
    </row>
    <row r="162" spans="1:17" x14ac:dyDescent="0.2">
      <c r="A162" s="27" t="s">
        <v>104</v>
      </c>
      <c r="B162" s="27" t="s">
        <v>25</v>
      </c>
      <c r="C162" s="27"/>
      <c r="D162" s="30">
        <v>45852</v>
      </c>
      <c r="E162" s="27" t="s">
        <v>733</v>
      </c>
      <c r="F162" s="27" t="s">
        <v>885</v>
      </c>
      <c r="G162" s="27" t="s">
        <v>23</v>
      </c>
      <c r="H162" s="27" t="s">
        <v>24</v>
      </c>
      <c r="K162" s="27" t="s">
        <v>886</v>
      </c>
      <c r="L162" s="28">
        <v>45850</v>
      </c>
      <c r="M162" s="31">
        <v>-2712.09</v>
      </c>
      <c r="N162" s="27" t="s">
        <v>109</v>
      </c>
      <c r="O162" s="27" t="s">
        <v>244</v>
      </c>
      <c r="Q162" s="27" t="s">
        <v>887</v>
      </c>
    </row>
    <row r="163" spans="1:17" x14ac:dyDescent="0.2">
      <c r="A163" s="27" t="s">
        <v>104</v>
      </c>
      <c r="B163" s="27" t="s">
        <v>5</v>
      </c>
      <c r="C163" s="29"/>
      <c r="D163" s="30">
        <v>45852</v>
      </c>
      <c r="E163" s="27" t="s">
        <v>733</v>
      </c>
      <c r="F163" s="27" t="s">
        <v>888</v>
      </c>
      <c r="G163" s="27" t="s">
        <v>889</v>
      </c>
      <c r="H163" s="27" t="s">
        <v>890</v>
      </c>
      <c r="I163" s="27" t="s">
        <v>891</v>
      </c>
      <c r="J163" s="27" t="s">
        <v>892</v>
      </c>
      <c r="K163" s="27" t="s">
        <v>893</v>
      </c>
      <c r="L163" s="28">
        <v>45849</v>
      </c>
      <c r="M163" s="31">
        <v>40</v>
      </c>
      <c r="N163" s="27" t="s">
        <v>109</v>
      </c>
      <c r="O163" s="27" t="s">
        <v>199</v>
      </c>
      <c r="P163" s="27" t="s">
        <v>117</v>
      </c>
      <c r="Q163" s="27" t="s">
        <v>894</v>
      </c>
    </row>
    <row r="164" spans="1:17" x14ac:dyDescent="0.2">
      <c r="A164" s="27" t="s">
        <v>104</v>
      </c>
      <c r="B164" s="27" t="s">
        <v>5</v>
      </c>
      <c r="C164" s="29" t="s">
        <v>1593</v>
      </c>
      <c r="D164" s="30">
        <v>45853</v>
      </c>
      <c r="E164" s="27" t="s">
        <v>733</v>
      </c>
      <c r="F164" s="27" t="s">
        <v>872</v>
      </c>
      <c r="G164" s="27" t="s">
        <v>723</v>
      </c>
      <c r="H164" s="27" t="s">
        <v>724</v>
      </c>
      <c r="I164" s="27" t="s">
        <v>725</v>
      </c>
      <c r="J164" s="27" t="s">
        <v>726</v>
      </c>
      <c r="K164" s="27" t="s">
        <v>873</v>
      </c>
      <c r="L164" s="28">
        <v>45853</v>
      </c>
      <c r="M164" s="31">
        <v>7</v>
      </c>
      <c r="N164" s="27" t="s">
        <v>109</v>
      </c>
      <c r="O164" s="27" t="s">
        <v>199</v>
      </c>
      <c r="P164" s="27" t="s">
        <v>117</v>
      </c>
      <c r="Q164" s="27" t="s">
        <v>874</v>
      </c>
    </row>
    <row r="165" spans="1:17" x14ac:dyDescent="0.2">
      <c r="A165" s="27" t="s">
        <v>104</v>
      </c>
      <c r="B165" s="27" t="s">
        <v>5</v>
      </c>
      <c r="C165" s="29" t="s">
        <v>1593</v>
      </c>
      <c r="D165" s="30">
        <v>45853</v>
      </c>
      <c r="E165" s="27" t="s">
        <v>733</v>
      </c>
      <c r="F165" s="27" t="s">
        <v>875</v>
      </c>
      <c r="G165" s="27" t="s">
        <v>876</v>
      </c>
      <c r="H165" s="27" t="s">
        <v>877</v>
      </c>
      <c r="I165" s="27" t="s">
        <v>878</v>
      </c>
      <c r="J165" s="27" t="s">
        <v>276</v>
      </c>
      <c r="K165" s="27" t="s">
        <v>879</v>
      </c>
      <c r="L165" s="28">
        <v>45853</v>
      </c>
      <c r="M165" s="31">
        <v>7</v>
      </c>
      <c r="N165" s="27" t="s">
        <v>109</v>
      </c>
      <c r="O165" s="27" t="s">
        <v>143</v>
      </c>
      <c r="P165" s="27" t="s">
        <v>117</v>
      </c>
      <c r="Q165" s="27" t="s">
        <v>880</v>
      </c>
    </row>
    <row r="166" spans="1:17" x14ac:dyDescent="0.2">
      <c r="A166" s="27" t="s">
        <v>104</v>
      </c>
      <c r="B166" s="27" t="s">
        <v>5</v>
      </c>
      <c r="C166" s="29" t="s">
        <v>1593</v>
      </c>
      <c r="D166" s="30">
        <v>45856</v>
      </c>
      <c r="E166" s="27" t="s">
        <v>733</v>
      </c>
      <c r="F166" s="27" t="s">
        <v>869</v>
      </c>
      <c r="G166" s="27" t="s">
        <v>44</v>
      </c>
      <c r="H166" s="27" t="s">
        <v>76</v>
      </c>
      <c r="I166" s="27" t="s">
        <v>174</v>
      </c>
      <c r="J166" s="27" t="s">
        <v>175</v>
      </c>
      <c r="K166" s="27" t="s">
        <v>870</v>
      </c>
      <c r="L166" s="28">
        <v>45856</v>
      </c>
      <c r="M166" s="31">
        <v>141.19</v>
      </c>
      <c r="N166" s="27" t="s">
        <v>109</v>
      </c>
      <c r="O166" s="27" t="s">
        <v>143</v>
      </c>
      <c r="P166" s="27" t="s">
        <v>117</v>
      </c>
      <c r="Q166" s="27" t="s">
        <v>871</v>
      </c>
    </row>
    <row r="167" spans="1:17" x14ac:dyDescent="0.2">
      <c r="A167" s="27" t="s">
        <v>104</v>
      </c>
      <c r="B167" s="27" t="s">
        <v>17</v>
      </c>
      <c r="C167" s="27"/>
      <c r="D167" s="30">
        <v>45861</v>
      </c>
      <c r="E167" s="27" t="s">
        <v>733</v>
      </c>
      <c r="F167" s="27" t="s">
        <v>866</v>
      </c>
      <c r="H167" s="27" t="s">
        <v>867</v>
      </c>
      <c r="J167" s="27" t="s">
        <v>167</v>
      </c>
      <c r="K167" s="27" t="s">
        <v>868</v>
      </c>
      <c r="L167" s="28">
        <v>45861</v>
      </c>
      <c r="M167" s="31">
        <v>-68.8</v>
      </c>
      <c r="N167" s="27" t="s">
        <v>109</v>
      </c>
      <c r="P167" s="27" t="s">
        <v>117</v>
      </c>
      <c r="Q167" s="27" t="s">
        <v>868</v>
      </c>
    </row>
    <row r="168" spans="1:17" x14ac:dyDescent="0.2">
      <c r="A168" s="27" t="s">
        <v>104</v>
      </c>
      <c r="B168" s="27" t="s">
        <v>6</v>
      </c>
      <c r="C168" s="27"/>
      <c r="D168" s="30">
        <v>45862</v>
      </c>
      <c r="E168" s="27" t="s">
        <v>733</v>
      </c>
      <c r="F168" s="27" t="s">
        <v>861</v>
      </c>
      <c r="H168" s="27" t="s">
        <v>862</v>
      </c>
      <c r="J168" s="27" t="s">
        <v>863</v>
      </c>
      <c r="K168" s="27" t="s">
        <v>1569</v>
      </c>
      <c r="L168" s="28">
        <v>45862</v>
      </c>
      <c r="M168" s="31">
        <v>-99</v>
      </c>
      <c r="N168" s="27" t="s">
        <v>109</v>
      </c>
      <c r="P168" s="27" t="s">
        <v>117</v>
      </c>
      <c r="Q168" s="27" t="s">
        <v>1569</v>
      </c>
    </row>
    <row r="169" spans="1:17" x14ac:dyDescent="0.2">
      <c r="A169" s="27" t="s">
        <v>104</v>
      </c>
      <c r="B169" s="27" t="s">
        <v>28</v>
      </c>
      <c r="C169" s="27"/>
      <c r="D169" s="30">
        <v>45862</v>
      </c>
      <c r="E169" s="27" t="s">
        <v>733</v>
      </c>
      <c r="F169" s="27" t="s">
        <v>864</v>
      </c>
      <c r="G169" s="27" t="s">
        <v>29</v>
      </c>
      <c r="H169" s="27" t="s">
        <v>30</v>
      </c>
      <c r="I169" s="27" t="s">
        <v>152</v>
      </c>
      <c r="J169" s="27" t="s">
        <v>153</v>
      </c>
      <c r="K169" s="27" t="s">
        <v>865</v>
      </c>
      <c r="L169" s="28">
        <v>45862</v>
      </c>
      <c r="M169" s="31">
        <v>-500</v>
      </c>
      <c r="N169" s="27" t="s">
        <v>109</v>
      </c>
      <c r="O169" s="27" t="s">
        <v>124</v>
      </c>
      <c r="P169" s="27" t="s">
        <v>117</v>
      </c>
      <c r="Q169" s="27" t="s">
        <v>865</v>
      </c>
    </row>
    <row r="170" spans="1:17" x14ac:dyDescent="0.2">
      <c r="A170" s="27" t="s">
        <v>104</v>
      </c>
      <c r="B170" s="27" t="s">
        <v>5</v>
      </c>
      <c r="C170" s="29" t="s">
        <v>1593</v>
      </c>
      <c r="D170" s="30">
        <v>45866</v>
      </c>
      <c r="E170" s="27" t="s">
        <v>733</v>
      </c>
      <c r="F170" s="27" t="s">
        <v>819</v>
      </c>
      <c r="G170" s="27" t="s">
        <v>820</v>
      </c>
      <c r="H170" s="27" t="s">
        <v>821</v>
      </c>
      <c r="I170" s="27" t="s">
        <v>822</v>
      </c>
      <c r="J170" s="27" t="s">
        <v>242</v>
      </c>
      <c r="K170" s="27" t="s">
        <v>823</v>
      </c>
      <c r="L170" s="28">
        <v>45866</v>
      </c>
      <c r="M170" s="31">
        <v>99</v>
      </c>
      <c r="N170" s="27" t="s">
        <v>109</v>
      </c>
      <c r="O170" s="27" t="s">
        <v>244</v>
      </c>
      <c r="P170" s="27" t="s">
        <v>117</v>
      </c>
      <c r="Q170" s="27" t="s">
        <v>824</v>
      </c>
    </row>
    <row r="171" spans="1:17" x14ac:dyDescent="0.2">
      <c r="A171" s="27" t="s">
        <v>104</v>
      </c>
      <c r="B171" s="27" t="s">
        <v>5</v>
      </c>
      <c r="C171" s="29" t="s">
        <v>1593</v>
      </c>
      <c r="D171" s="30">
        <v>45866</v>
      </c>
      <c r="E171" s="27" t="s">
        <v>733</v>
      </c>
      <c r="F171" s="27" t="s">
        <v>835</v>
      </c>
      <c r="G171" s="27" t="s">
        <v>836</v>
      </c>
      <c r="H171" s="27" t="s">
        <v>837</v>
      </c>
      <c r="I171" s="27" t="s">
        <v>838</v>
      </c>
      <c r="J171" s="27" t="s">
        <v>348</v>
      </c>
      <c r="K171" s="27" t="s">
        <v>839</v>
      </c>
      <c r="L171" s="28">
        <v>45866</v>
      </c>
      <c r="M171" s="31">
        <v>94</v>
      </c>
      <c r="N171" s="27" t="s">
        <v>109</v>
      </c>
      <c r="O171" s="27" t="s">
        <v>244</v>
      </c>
      <c r="P171" s="27" t="s">
        <v>117</v>
      </c>
      <c r="Q171" s="27" t="s">
        <v>840</v>
      </c>
    </row>
    <row r="172" spans="1:17" x14ac:dyDescent="0.2">
      <c r="A172" s="27" t="s">
        <v>104</v>
      </c>
      <c r="B172" s="27" t="s">
        <v>5</v>
      </c>
      <c r="C172" s="29" t="s">
        <v>1593</v>
      </c>
      <c r="D172" s="30">
        <v>45866</v>
      </c>
      <c r="E172" s="27" t="s">
        <v>733</v>
      </c>
      <c r="F172" s="27" t="s">
        <v>825</v>
      </c>
      <c r="G172" s="27" t="s">
        <v>826</v>
      </c>
      <c r="H172" s="27" t="s">
        <v>827</v>
      </c>
      <c r="I172" s="27" t="s">
        <v>828</v>
      </c>
      <c r="J172" s="27" t="s">
        <v>829</v>
      </c>
      <c r="K172" s="27" t="s">
        <v>830</v>
      </c>
      <c r="L172" s="28">
        <v>45866</v>
      </c>
      <c r="M172" s="31">
        <v>78</v>
      </c>
      <c r="N172" s="27" t="s">
        <v>109</v>
      </c>
      <c r="O172" s="27" t="s">
        <v>186</v>
      </c>
      <c r="P172" s="27" t="s">
        <v>117</v>
      </c>
      <c r="Q172" s="27" t="s">
        <v>831</v>
      </c>
    </row>
    <row r="173" spans="1:17" x14ac:dyDescent="0.2">
      <c r="A173" s="27" t="s">
        <v>104</v>
      </c>
      <c r="B173" s="27" t="s">
        <v>5</v>
      </c>
      <c r="C173" s="29" t="s">
        <v>1593</v>
      </c>
      <c r="D173" s="30">
        <v>45866</v>
      </c>
      <c r="E173" s="27" t="s">
        <v>733</v>
      </c>
      <c r="F173" s="27" t="s">
        <v>855</v>
      </c>
      <c r="G173" s="27" t="s">
        <v>740</v>
      </c>
      <c r="H173" s="27" t="s">
        <v>741</v>
      </c>
      <c r="I173" s="27" t="s">
        <v>742</v>
      </c>
      <c r="J173" s="27" t="s">
        <v>242</v>
      </c>
      <c r="K173" s="27" t="s">
        <v>856</v>
      </c>
      <c r="L173" s="28">
        <v>45864</v>
      </c>
      <c r="M173" s="31">
        <v>78</v>
      </c>
      <c r="N173" s="27" t="s">
        <v>109</v>
      </c>
      <c r="O173" s="27" t="s">
        <v>244</v>
      </c>
      <c r="P173" s="27" t="s">
        <v>117</v>
      </c>
      <c r="Q173" s="27" t="s">
        <v>857</v>
      </c>
    </row>
    <row r="174" spans="1:17" x14ac:dyDescent="0.2">
      <c r="A174" s="27" t="s">
        <v>104</v>
      </c>
      <c r="B174" s="27" t="s">
        <v>5</v>
      </c>
      <c r="C174" s="29" t="s">
        <v>1593</v>
      </c>
      <c r="D174" s="30">
        <v>45866</v>
      </c>
      <c r="E174" s="27" t="s">
        <v>733</v>
      </c>
      <c r="F174" s="27" t="s">
        <v>832</v>
      </c>
      <c r="G174" s="27" t="s">
        <v>207</v>
      </c>
      <c r="H174" s="27" t="s">
        <v>208</v>
      </c>
      <c r="I174" s="27" t="s">
        <v>209</v>
      </c>
      <c r="J174" s="27" t="s">
        <v>210</v>
      </c>
      <c r="K174" s="27" t="s">
        <v>833</v>
      </c>
      <c r="L174" s="28">
        <v>45866</v>
      </c>
      <c r="M174" s="31">
        <v>71</v>
      </c>
      <c r="N174" s="27" t="s">
        <v>109</v>
      </c>
      <c r="O174" s="27" t="s">
        <v>199</v>
      </c>
      <c r="P174" s="27" t="s">
        <v>117</v>
      </c>
      <c r="Q174" s="27" t="s">
        <v>834</v>
      </c>
    </row>
    <row r="175" spans="1:17" x14ac:dyDescent="0.2">
      <c r="A175" s="27" t="s">
        <v>104</v>
      </c>
      <c r="B175" s="27" t="s">
        <v>5</v>
      </c>
      <c r="C175" s="29" t="s">
        <v>1593</v>
      </c>
      <c r="D175" s="30">
        <v>45866</v>
      </c>
      <c r="E175" s="27" t="s">
        <v>733</v>
      </c>
      <c r="F175" s="27" t="s">
        <v>849</v>
      </c>
      <c r="G175" s="27" t="s">
        <v>850</v>
      </c>
      <c r="H175" s="27" t="s">
        <v>851</v>
      </c>
      <c r="I175" s="27" t="s">
        <v>852</v>
      </c>
      <c r="J175" s="27" t="s">
        <v>242</v>
      </c>
      <c r="K175" s="27" t="s">
        <v>853</v>
      </c>
      <c r="L175" s="28">
        <v>45866</v>
      </c>
      <c r="M175" s="31">
        <v>57</v>
      </c>
      <c r="N175" s="27" t="s">
        <v>109</v>
      </c>
      <c r="O175" s="27" t="s">
        <v>244</v>
      </c>
      <c r="P175" s="27" t="s">
        <v>117</v>
      </c>
      <c r="Q175" s="27" t="s">
        <v>854</v>
      </c>
    </row>
    <row r="176" spans="1:17" x14ac:dyDescent="0.2">
      <c r="A176" s="27" t="s">
        <v>104</v>
      </c>
      <c r="B176" s="27" t="s">
        <v>32</v>
      </c>
      <c r="C176" s="27"/>
      <c r="D176" s="30">
        <v>45866</v>
      </c>
      <c r="E176" s="27" t="s">
        <v>733</v>
      </c>
      <c r="F176" s="27" t="s">
        <v>858</v>
      </c>
      <c r="G176" s="27" t="s">
        <v>78</v>
      </c>
      <c r="H176" s="27" t="s">
        <v>79</v>
      </c>
      <c r="K176" s="27" t="s">
        <v>859</v>
      </c>
      <c r="L176" s="28">
        <v>45864</v>
      </c>
      <c r="M176" s="31">
        <v>-72.3</v>
      </c>
      <c r="N176" s="27" t="s">
        <v>109</v>
      </c>
      <c r="O176" s="27" t="s">
        <v>124</v>
      </c>
      <c r="Q176" s="27" t="s">
        <v>860</v>
      </c>
    </row>
    <row r="177" spans="1:17" x14ac:dyDescent="0.2">
      <c r="A177" s="27" t="s">
        <v>104</v>
      </c>
      <c r="B177" s="27" t="s">
        <v>5</v>
      </c>
      <c r="C177" s="29" t="s">
        <v>1593</v>
      </c>
      <c r="D177" s="30">
        <v>45866</v>
      </c>
      <c r="E177" s="27" t="s">
        <v>733</v>
      </c>
      <c r="F177" s="27" t="s">
        <v>843</v>
      </c>
      <c r="G177" s="27" t="s">
        <v>844</v>
      </c>
      <c r="H177" s="27" t="s">
        <v>845</v>
      </c>
      <c r="I177" s="27" t="s">
        <v>846</v>
      </c>
      <c r="J177" s="27" t="s">
        <v>392</v>
      </c>
      <c r="K177" s="27" t="s">
        <v>847</v>
      </c>
      <c r="L177" s="28">
        <v>45866</v>
      </c>
      <c r="M177" s="31">
        <v>21</v>
      </c>
      <c r="N177" s="27" t="s">
        <v>109</v>
      </c>
      <c r="O177" s="27" t="s">
        <v>199</v>
      </c>
      <c r="P177" s="27" t="s">
        <v>117</v>
      </c>
      <c r="Q177" s="27" t="s">
        <v>848</v>
      </c>
    </row>
    <row r="178" spans="1:17" x14ac:dyDescent="0.2">
      <c r="A178" s="27" t="s">
        <v>104</v>
      </c>
      <c r="B178" s="27" t="s">
        <v>5</v>
      </c>
      <c r="C178" s="29" t="s">
        <v>1593</v>
      </c>
      <c r="D178" s="30">
        <v>45866</v>
      </c>
      <c r="E178" s="27" t="s">
        <v>733</v>
      </c>
      <c r="F178" s="27" t="s">
        <v>812</v>
      </c>
      <c r="G178" s="27" t="s">
        <v>813</v>
      </c>
      <c r="H178" s="27" t="s">
        <v>814</v>
      </c>
      <c r="J178" s="27" t="s">
        <v>604</v>
      </c>
      <c r="K178" s="27" t="s">
        <v>815</v>
      </c>
      <c r="L178" s="28">
        <v>45866</v>
      </c>
      <c r="M178" s="31">
        <v>18</v>
      </c>
      <c r="N178" s="27" t="s">
        <v>109</v>
      </c>
      <c r="O178" s="27" t="s">
        <v>816</v>
      </c>
      <c r="P178" s="27" t="s">
        <v>817</v>
      </c>
      <c r="Q178" s="27" t="s">
        <v>818</v>
      </c>
    </row>
    <row r="179" spans="1:17" x14ac:dyDescent="0.2">
      <c r="A179" s="27" t="s">
        <v>104</v>
      </c>
      <c r="B179" s="27" t="s">
        <v>5</v>
      </c>
      <c r="C179" s="29" t="s">
        <v>1593</v>
      </c>
      <c r="D179" s="30">
        <v>45866</v>
      </c>
      <c r="E179" s="27" t="s">
        <v>733</v>
      </c>
      <c r="F179" s="27" t="s">
        <v>841</v>
      </c>
      <c r="G179" s="27" t="s">
        <v>771</v>
      </c>
      <c r="H179" s="27" t="s">
        <v>772</v>
      </c>
      <c r="I179" s="27" t="s">
        <v>773</v>
      </c>
      <c r="J179" s="27" t="s">
        <v>276</v>
      </c>
      <c r="K179" s="27" t="s">
        <v>842</v>
      </c>
      <c r="L179" s="28">
        <v>45866</v>
      </c>
      <c r="M179" s="31">
        <v>9</v>
      </c>
      <c r="N179" s="27" t="s">
        <v>109</v>
      </c>
      <c r="O179" s="27" t="s">
        <v>244</v>
      </c>
      <c r="P179" s="27" t="s">
        <v>117</v>
      </c>
      <c r="Q179" s="27" t="s">
        <v>775</v>
      </c>
    </row>
    <row r="180" spans="1:17" x14ac:dyDescent="0.2">
      <c r="A180" s="27" t="s">
        <v>104</v>
      </c>
      <c r="B180" s="27" t="s">
        <v>5</v>
      </c>
      <c r="C180" s="29" t="s">
        <v>1593</v>
      </c>
      <c r="D180" s="30">
        <v>45867</v>
      </c>
      <c r="E180" s="27" t="s">
        <v>733</v>
      </c>
      <c r="F180" s="27" t="s">
        <v>792</v>
      </c>
      <c r="G180" s="27" t="s">
        <v>10</v>
      </c>
      <c r="H180" s="27" t="s">
        <v>294</v>
      </c>
      <c r="I180" s="27" t="s">
        <v>295</v>
      </c>
      <c r="J180" s="27" t="s">
        <v>296</v>
      </c>
      <c r="K180" s="27" t="s">
        <v>1567</v>
      </c>
      <c r="L180" s="28">
        <v>45867</v>
      </c>
      <c r="M180" s="31">
        <v>4210.0600000000004</v>
      </c>
      <c r="N180" s="27" t="s">
        <v>109</v>
      </c>
      <c r="O180" s="27" t="s">
        <v>124</v>
      </c>
      <c r="P180" s="27" t="s">
        <v>117</v>
      </c>
      <c r="Q180" s="27" t="s">
        <v>1568</v>
      </c>
    </row>
    <row r="181" spans="1:17" x14ac:dyDescent="0.2">
      <c r="A181" s="27" t="s">
        <v>104</v>
      </c>
      <c r="B181" s="27" t="s">
        <v>5</v>
      </c>
      <c r="C181" s="29" t="s">
        <v>1593</v>
      </c>
      <c r="D181" s="30">
        <v>45867</v>
      </c>
      <c r="E181" s="27" t="s">
        <v>733</v>
      </c>
      <c r="F181" s="27" t="s">
        <v>785</v>
      </c>
      <c r="G181" s="27" t="s">
        <v>786</v>
      </c>
      <c r="H181" s="27" t="s">
        <v>787</v>
      </c>
      <c r="I181" s="27" t="s">
        <v>788</v>
      </c>
      <c r="J181" s="27" t="s">
        <v>789</v>
      </c>
      <c r="K181" s="27" t="s">
        <v>790</v>
      </c>
      <c r="L181" s="28">
        <v>45867</v>
      </c>
      <c r="M181" s="31">
        <v>94</v>
      </c>
      <c r="N181" s="27" t="s">
        <v>109</v>
      </c>
      <c r="O181" s="27" t="s">
        <v>124</v>
      </c>
      <c r="P181" s="27" t="s">
        <v>117</v>
      </c>
      <c r="Q181" s="27" t="s">
        <v>791</v>
      </c>
    </row>
    <row r="182" spans="1:17" x14ac:dyDescent="0.2">
      <c r="A182" s="27" t="s">
        <v>104</v>
      </c>
      <c r="B182" s="27" t="s">
        <v>5</v>
      </c>
      <c r="C182" s="29" t="s">
        <v>1593</v>
      </c>
      <c r="D182" s="30">
        <v>45867</v>
      </c>
      <c r="E182" s="27" t="s">
        <v>733</v>
      </c>
      <c r="F182" s="27" t="s">
        <v>793</v>
      </c>
      <c r="G182" s="27" t="s">
        <v>794</v>
      </c>
      <c r="H182" s="27" t="s">
        <v>795</v>
      </c>
      <c r="I182" s="27" t="s">
        <v>796</v>
      </c>
      <c r="J182" s="27" t="s">
        <v>242</v>
      </c>
      <c r="K182" s="27" t="s">
        <v>797</v>
      </c>
      <c r="L182" s="28">
        <v>45867</v>
      </c>
      <c r="M182" s="31">
        <v>71</v>
      </c>
      <c r="N182" s="27" t="s">
        <v>109</v>
      </c>
      <c r="O182" s="27" t="s">
        <v>244</v>
      </c>
      <c r="P182" s="27" t="s">
        <v>117</v>
      </c>
      <c r="Q182" s="27" t="s">
        <v>798</v>
      </c>
    </row>
    <row r="183" spans="1:17" x14ac:dyDescent="0.2">
      <c r="A183" s="27" t="s">
        <v>104</v>
      </c>
      <c r="B183" s="27" t="s">
        <v>5</v>
      </c>
      <c r="C183" s="29"/>
      <c r="D183" s="30">
        <v>45867</v>
      </c>
      <c r="E183" s="27" t="s">
        <v>733</v>
      </c>
      <c r="F183" s="27" t="s">
        <v>806</v>
      </c>
      <c r="G183" s="27" t="s">
        <v>807</v>
      </c>
      <c r="H183" s="27" t="s">
        <v>808</v>
      </c>
      <c r="I183" s="27" t="s">
        <v>809</v>
      </c>
      <c r="J183" s="27" t="s">
        <v>242</v>
      </c>
      <c r="K183" s="27" t="s">
        <v>810</v>
      </c>
      <c r="L183" s="28">
        <v>45867</v>
      </c>
      <c r="M183" s="31">
        <v>40</v>
      </c>
      <c r="N183" s="27" t="s">
        <v>109</v>
      </c>
      <c r="O183" s="27" t="s">
        <v>244</v>
      </c>
      <c r="P183" s="27" t="s">
        <v>117</v>
      </c>
      <c r="Q183" s="27" t="s">
        <v>811</v>
      </c>
    </row>
    <row r="184" spans="1:17" x14ac:dyDescent="0.2">
      <c r="A184" s="27" t="s">
        <v>104</v>
      </c>
      <c r="B184" s="27" t="s">
        <v>5</v>
      </c>
      <c r="C184" s="29" t="s">
        <v>1593</v>
      </c>
      <c r="D184" s="30">
        <v>45867</v>
      </c>
      <c r="E184" s="27" t="s">
        <v>733</v>
      </c>
      <c r="F184" s="27" t="s">
        <v>799</v>
      </c>
      <c r="G184" s="27" t="s">
        <v>800</v>
      </c>
      <c r="H184" s="27" t="s">
        <v>801</v>
      </c>
      <c r="I184" s="27" t="s">
        <v>802</v>
      </c>
      <c r="J184" s="27" t="s">
        <v>803</v>
      </c>
      <c r="K184" s="27" t="s">
        <v>804</v>
      </c>
      <c r="L184" s="28">
        <v>45867</v>
      </c>
      <c r="M184" s="31">
        <v>7</v>
      </c>
      <c r="N184" s="27" t="s">
        <v>109</v>
      </c>
      <c r="O184" s="27" t="s">
        <v>143</v>
      </c>
      <c r="P184" s="27" t="s">
        <v>117</v>
      </c>
      <c r="Q184" s="27" t="s">
        <v>805</v>
      </c>
    </row>
    <row r="185" spans="1:17" x14ac:dyDescent="0.2">
      <c r="A185" s="27" t="s">
        <v>104</v>
      </c>
      <c r="B185" s="27" t="s">
        <v>5</v>
      </c>
      <c r="C185" s="29" t="s">
        <v>1593</v>
      </c>
      <c r="D185" s="30">
        <v>45868</v>
      </c>
      <c r="E185" s="27" t="s">
        <v>733</v>
      </c>
      <c r="F185" s="27" t="s">
        <v>767</v>
      </c>
      <c r="G185" s="27" t="s">
        <v>35</v>
      </c>
      <c r="H185" s="27" t="s">
        <v>36</v>
      </c>
      <c r="I185" s="27" t="s">
        <v>234</v>
      </c>
      <c r="J185" s="27" t="s">
        <v>235</v>
      </c>
      <c r="K185" s="27" t="s">
        <v>768</v>
      </c>
      <c r="L185" s="28">
        <v>45868</v>
      </c>
      <c r="M185" s="31">
        <v>427.81</v>
      </c>
      <c r="N185" s="27" t="s">
        <v>109</v>
      </c>
      <c r="O185" s="27" t="s">
        <v>199</v>
      </c>
      <c r="P185" s="27" t="s">
        <v>117</v>
      </c>
      <c r="Q185" s="27" t="s">
        <v>769</v>
      </c>
    </row>
    <row r="186" spans="1:17" x14ac:dyDescent="0.2">
      <c r="A186" s="27" t="s">
        <v>104</v>
      </c>
      <c r="B186" s="27" t="s">
        <v>8</v>
      </c>
      <c r="C186" s="27"/>
      <c r="D186" s="30">
        <v>45868</v>
      </c>
      <c r="E186" s="27" t="s">
        <v>733</v>
      </c>
      <c r="F186" s="27" t="s">
        <v>776</v>
      </c>
      <c r="H186" s="27" t="s">
        <v>777</v>
      </c>
      <c r="J186" s="27" t="s">
        <v>778</v>
      </c>
      <c r="K186" s="27" t="s">
        <v>1566</v>
      </c>
      <c r="L186" s="28">
        <v>45868</v>
      </c>
      <c r="M186" s="31">
        <v>-6.99</v>
      </c>
      <c r="N186" s="27" t="s">
        <v>109</v>
      </c>
      <c r="P186" s="27" t="s">
        <v>110</v>
      </c>
      <c r="Q186" s="27" t="s">
        <v>1566</v>
      </c>
    </row>
    <row r="187" spans="1:17" x14ac:dyDescent="0.2">
      <c r="A187" s="27" t="s">
        <v>104</v>
      </c>
      <c r="B187" s="27" t="s">
        <v>5</v>
      </c>
      <c r="C187" s="29" t="s">
        <v>1593</v>
      </c>
      <c r="D187" s="30">
        <v>45868</v>
      </c>
      <c r="E187" s="27" t="s">
        <v>733</v>
      </c>
      <c r="F187" s="27" t="s">
        <v>764</v>
      </c>
      <c r="G187" s="27" t="s">
        <v>15</v>
      </c>
      <c r="H187" s="27" t="s">
        <v>16</v>
      </c>
      <c r="I187" s="27" t="s">
        <v>196</v>
      </c>
      <c r="J187" s="27" t="s">
        <v>197</v>
      </c>
      <c r="K187" s="27" t="s">
        <v>765</v>
      </c>
      <c r="L187" s="28">
        <v>45868</v>
      </c>
      <c r="M187" s="31">
        <v>46.62</v>
      </c>
      <c r="N187" s="27" t="s">
        <v>109</v>
      </c>
      <c r="O187" s="27" t="s">
        <v>199</v>
      </c>
      <c r="P187" s="27" t="s">
        <v>117</v>
      </c>
      <c r="Q187" s="27" t="s">
        <v>766</v>
      </c>
    </row>
    <row r="188" spans="1:17" x14ac:dyDescent="0.2">
      <c r="A188" s="27" t="s">
        <v>104</v>
      </c>
      <c r="B188" s="27" t="s">
        <v>5</v>
      </c>
      <c r="C188" s="29" t="s">
        <v>1593</v>
      </c>
      <c r="D188" s="30">
        <v>45868</v>
      </c>
      <c r="E188" s="27" t="s">
        <v>733</v>
      </c>
      <c r="F188" s="27" t="s">
        <v>770</v>
      </c>
      <c r="G188" s="27" t="s">
        <v>771</v>
      </c>
      <c r="H188" s="27" t="s">
        <v>772</v>
      </c>
      <c r="I188" s="27" t="s">
        <v>773</v>
      </c>
      <c r="J188" s="27" t="s">
        <v>276</v>
      </c>
      <c r="K188" s="27" t="s">
        <v>774</v>
      </c>
      <c r="L188" s="28">
        <v>45868</v>
      </c>
      <c r="M188" s="31">
        <v>9</v>
      </c>
      <c r="N188" s="27" t="s">
        <v>109</v>
      </c>
      <c r="O188" s="27" t="s">
        <v>244</v>
      </c>
      <c r="P188" s="27" t="s">
        <v>117</v>
      </c>
      <c r="Q188" s="27" t="s">
        <v>775</v>
      </c>
    </row>
    <row r="189" spans="1:17" x14ac:dyDescent="0.2">
      <c r="A189" s="27" t="s">
        <v>104</v>
      </c>
      <c r="B189" s="27" t="s">
        <v>5</v>
      </c>
      <c r="C189" s="29" t="s">
        <v>1593</v>
      </c>
      <c r="D189" s="30">
        <v>45868</v>
      </c>
      <c r="E189" s="27" t="s">
        <v>733</v>
      </c>
      <c r="F189" s="27" t="s">
        <v>779</v>
      </c>
      <c r="G189" s="27" t="s">
        <v>780</v>
      </c>
      <c r="H189" s="27" t="s">
        <v>781</v>
      </c>
      <c r="I189" s="27" t="s">
        <v>782</v>
      </c>
      <c r="J189" s="27" t="s">
        <v>726</v>
      </c>
      <c r="K189" s="27" t="s">
        <v>783</v>
      </c>
      <c r="L189" s="28">
        <v>45868</v>
      </c>
      <c r="M189" s="31">
        <v>7</v>
      </c>
      <c r="N189" s="27" t="s">
        <v>109</v>
      </c>
      <c r="O189" s="27" t="s">
        <v>199</v>
      </c>
      <c r="P189" s="27" t="s">
        <v>117</v>
      </c>
      <c r="Q189" s="27" t="s">
        <v>784</v>
      </c>
    </row>
    <row r="190" spans="1:17" x14ac:dyDescent="0.2">
      <c r="A190" s="27" t="s">
        <v>104</v>
      </c>
      <c r="B190" s="27" t="s">
        <v>5</v>
      </c>
      <c r="C190" s="29" t="s">
        <v>1593</v>
      </c>
      <c r="D190" s="30">
        <v>45869</v>
      </c>
      <c r="E190" s="27" t="s">
        <v>733</v>
      </c>
      <c r="F190" s="27" t="s">
        <v>758</v>
      </c>
      <c r="G190" s="27" t="s">
        <v>759</v>
      </c>
      <c r="H190" s="27" t="s">
        <v>760</v>
      </c>
      <c r="I190" s="27" t="s">
        <v>761</v>
      </c>
      <c r="J190" s="27" t="s">
        <v>242</v>
      </c>
      <c r="K190" s="27" t="s">
        <v>762</v>
      </c>
      <c r="L190" s="28">
        <v>45869</v>
      </c>
      <c r="M190" s="31">
        <v>78</v>
      </c>
      <c r="N190" s="27" t="s">
        <v>109</v>
      </c>
      <c r="O190" s="27" t="s">
        <v>244</v>
      </c>
      <c r="P190" s="27" t="s">
        <v>117</v>
      </c>
      <c r="Q190" s="27" t="s">
        <v>763</v>
      </c>
    </row>
    <row r="191" spans="1:17" x14ac:dyDescent="0.2">
      <c r="A191" s="27" t="s">
        <v>104</v>
      </c>
      <c r="B191" s="27" t="s">
        <v>5</v>
      </c>
      <c r="C191" s="29" t="s">
        <v>1593</v>
      </c>
      <c r="D191" s="30">
        <v>45870</v>
      </c>
      <c r="E191" s="27" t="s">
        <v>733</v>
      </c>
      <c r="F191" s="27" t="s">
        <v>752</v>
      </c>
      <c r="G191" s="27" t="s">
        <v>19</v>
      </c>
      <c r="H191" s="27" t="s">
        <v>75</v>
      </c>
      <c r="I191" s="27" t="s">
        <v>529</v>
      </c>
      <c r="J191" s="27" t="s">
        <v>530</v>
      </c>
      <c r="K191" s="27" t="s">
        <v>753</v>
      </c>
      <c r="L191" s="28">
        <v>45870</v>
      </c>
      <c r="M191" s="31">
        <v>809.02</v>
      </c>
      <c r="N191" s="27" t="s">
        <v>109</v>
      </c>
      <c r="O191" s="27" t="s">
        <v>143</v>
      </c>
      <c r="P191" s="27" t="s">
        <v>117</v>
      </c>
      <c r="Q191" s="27" t="s">
        <v>754</v>
      </c>
    </row>
    <row r="192" spans="1:17" x14ac:dyDescent="0.2">
      <c r="A192" s="27" t="s">
        <v>104</v>
      </c>
      <c r="B192" s="27" t="s">
        <v>13</v>
      </c>
      <c r="C192" s="27"/>
      <c r="D192" s="30">
        <v>45870</v>
      </c>
      <c r="E192" s="27" t="s">
        <v>733</v>
      </c>
      <c r="F192" s="27" t="s">
        <v>755</v>
      </c>
      <c r="G192" s="27" t="s">
        <v>14</v>
      </c>
      <c r="H192" s="27" t="s">
        <v>53</v>
      </c>
      <c r="K192" s="27" t="s">
        <v>756</v>
      </c>
      <c r="L192" s="28">
        <v>45870</v>
      </c>
      <c r="M192" s="31">
        <v>-1400</v>
      </c>
      <c r="N192" s="27" t="s">
        <v>109</v>
      </c>
      <c r="O192" s="27" t="s">
        <v>124</v>
      </c>
      <c r="Q192" s="27" t="s">
        <v>757</v>
      </c>
    </row>
    <row r="193" spans="1:17" x14ac:dyDescent="0.2">
      <c r="A193" s="27" t="s">
        <v>104</v>
      </c>
      <c r="B193" s="27" t="s">
        <v>5</v>
      </c>
      <c r="C193" s="29" t="s">
        <v>1593</v>
      </c>
      <c r="D193" s="30">
        <v>45870</v>
      </c>
      <c r="E193" s="27" t="s">
        <v>733</v>
      </c>
      <c r="F193" s="27" t="s">
        <v>745</v>
      </c>
      <c r="G193" s="27" t="s">
        <v>746</v>
      </c>
      <c r="H193" s="27" t="s">
        <v>747</v>
      </c>
      <c r="I193" s="27" t="s">
        <v>748</v>
      </c>
      <c r="J193" s="27" t="s">
        <v>749</v>
      </c>
      <c r="K193" s="27" t="s">
        <v>750</v>
      </c>
      <c r="L193" s="28">
        <v>45870</v>
      </c>
      <c r="M193" s="31">
        <v>11</v>
      </c>
      <c r="N193" s="27" t="s">
        <v>109</v>
      </c>
      <c r="O193" s="27" t="s">
        <v>244</v>
      </c>
      <c r="P193" s="27" t="s">
        <v>117</v>
      </c>
      <c r="Q193" s="27" t="s">
        <v>751</v>
      </c>
    </row>
    <row r="194" spans="1:17" x14ac:dyDescent="0.2">
      <c r="A194" s="27" t="s">
        <v>104</v>
      </c>
      <c r="B194" s="27" t="s">
        <v>32</v>
      </c>
      <c r="C194" s="27"/>
      <c r="D194" s="30">
        <v>45873</v>
      </c>
      <c r="E194" s="27" t="s">
        <v>733</v>
      </c>
      <c r="F194" s="27" t="s">
        <v>734</v>
      </c>
      <c r="G194" s="27" t="s">
        <v>14</v>
      </c>
      <c r="H194" s="27" t="s">
        <v>363</v>
      </c>
      <c r="I194" s="27" t="s">
        <v>364</v>
      </c>
      <c r="J194" s="27" t="s">
        <v>365</v>
      </c>
      <c r="K194" s="27" t="s">
        <v>735</v>
      </c>
      <c r="L194" s="28">
        <v>45873</v>
      </c>
      <c r="M194" s="31">
        <v>90</v>
      </c>
      <c r="N194" s="27" t="s">
        <v>109</v>
      </c>
      <c r="O194" s="27" t="s">
        <v>124</v>
      </c>
      <c r="P194" s="27" t="s">
        <v>117</v>
      </c>
      <c r="Q194" s="27" t="s">
        <v>736</v>
      </c>
    </row>
    <row r="195" spans="1:17" x14ac:dyDescent="0.2">
      <c r="A195" s="27" t="s">
        <v>104</v>
      </c>
      <c r="B195" s="27" t="s">
        <v>1591</v>
      </c>
      <c r="C195" s="27"/>
      <c r="D195" s="30">
        <v>45873</v>
      </c>
      <c r="E195" s="27" t="s">
        <v>733</v>
      </c>
      <c r="F195" s="27" t="s">
        <v>737</v>
      </c>
      <c r="G195" s="27" t="s">
        <v>9</v>
      </c>
      <c r="K195" s="27" t="s">
        <v>738</v>
      </c>
      <c r="L195" s="28">
        <v>45873</v>
      </c>
      <c r="M195" s="31">
        <v>-116.9</v>
      </c>
      <c r="N195" s="27" t="s">
        <v>109</v>
      </c>
      <c r="O195" s="27" t="s">
        <v>318</v>
      </c>
      <c r="P195" s="27" t="s">
        <v>117</v>
      </c>
      <c r="Q195" s="27" t="s">
        <v>738</v>
      </c>
    </row>
    <row r="196" spans="1:17" x14ac:dyDescent="0.2">
      <c r="A196" s="27" t="s">
        <v>104</v>
      </c>
      <c r="B196" s="27" t="s">
        <v>5</v>
      </c>
      <c r="C196" s="29" t="s">
        <v>1593</v>
      </c>
      <c r="D196" s="30">
        <v>45873</v>
      </c>
      <c r="E196" s="27" t="s">
        <v>733</v>
      </c>
      <c r="F196" s="27" t="s">
        <v>739</v>
      </c>
      <c r="G196" s="27" t="s">
        <v>740</v>
      </c>
      <c r="H196" s="27" t="s">
        <v>741</v>
      </c>
      <c r="I196" s="27" t="s">
        <v>742</v>
      </c>
      <c r="J196" s="27" t="s">
        <v>242</v>
      </c>
      <c r="K196" s="27" t="s">
        <v>743</v>
      </c>
      <c r="L196" s="28">
        <v>45872</v>
      </c>
      <c r="M196" s="31">
        <v>7</v>
      </c>
      <c r="N196" s="27" t="s">
        <v>109</v>
      </c>
      <c r="O196" s="27" t="s">
        <v>244</v>
      </c>
      <c r="P196" s="27" t="s">
        <v>117</v>
      </c>
      <c r="Q196" s="27" t="s">
        <v>744</v>
      </c>
    </row>
    <row r="197" spans="1:17" x14ac:dyDescent="0.2">
      <c r="A197" s="27" t="s">
        <v>104</v>
      </c>
      <c r="B197" s="27" t="s">
        <v>12</v>
      </c>
      <c r="C197" s="27"/>
      <c r="D197" s="30">
        <v>45875</v>
      </c>
      <c r="E197" s="27" t="s">
        <v>600</v>
      </c>
      <c r="F197" s="27" t="s">
        <v>732</v>
      </c>
      <c r="K197" s="27" t="s">
        <v>1565</v>
      </c>
      <c r="L197" s="28">
        <v>45870</v>
      </c>
      <c r="M197" s="31">
        <v>-7.5</v>
      </c>
      <c r="N197" s="27" t="s">
        <v>109</v>
      </c>
      <c r="Q197" s="27" t="s">
        <v>1565</v>
      </c>
    </row>
    <row r="198" spans="1:17" x14ac:dyDescent="0.2">
      <c r="A198" s="27" t="s">
        <v>104</v>
      </c>
      <c r="B198" s="27" t="s">
        <v>5</v>
      </c>
      <c r="C198" s="29" t="s">
        <v>1593</v>
      </c>
      <c r="D198" s="30">
        <v>45876</v>
      </c>
      <c r="E198" s="27" t="s">
        <v>600</v>
      </c>
      <c r="F198" s="27" t="s">
        <v>729</v>
      </c>
      <c r="G198" s="27" t="s">
        <v>44</v>
      </c>
      <c r="H198" s="27" t="s">
        <v>76</v>
      </c>
      <c r="I198" s="27" t="s">
        <v>174</v>
      </c>
      <c r="J198" s="27" t="s">
        <v>175</v>
      </c>
      <c r="K198" s="27" t="s">
        <v>730</v>
      </c>
      <c r="L198" s="28">
        <v>45876</v>
      </c>
      <c r="M198" s="31">
        <v>74.09</v>
      </c>
      <c r="N198" s="27" t="s">
        <v>109</v>
      </c>
      <c r="O198" s="27" t="s">
        <v>143</v>
      </c>
      <c r="P198" s="27" t="s">
        <v>117</v>
      </c>
      <c r="Q198" s="27" t="s">
        <v>731</v>
      </c>
    </row>
    <row r="199" spans="1:17" x14ac:dyDescent="0.2">
      <c r="A199" s="27" t="s">
        <v>104</v>
      </c>
      <c r="B199" s="27" t="s">
        <v>5</v>
      </c>
      <c r="C199" s="29" t="s">
        <v>1593</v>
      </c>
      <c r="D199" s="30">
        <v>45880</v>
      </c>
      <c r="E199" s="27" t="s">
        <v>600</v>
      </c>
      <c r="F199" s="27" t="s">
        <v>722</v>
      </c>
      <c r="G199" s="27" t="s">
        <v>723</v>
      </c>
      <c r="H199" s="27" t="s">
        <v>724</v>
      </c>
      <c r="I199" s="27" t="s">
        <v>725</v>
      </c>
      <c r="J199" s="27" t="s">
        <v>726</v>
      </c>
      <c r="K199" s="27" t="s">
        <v>727</v>
      </c>
      <c r="L199" s="28">
        <v>45879</v>
      </c>
      <c r="M199" s="31">
        <v>7</v>
      </c>
      <c r="N199" s="27" t="s">
        <v>109</v>
      </c>
      <c r="O199" s="27" t="s">
        <v>199</v>
      </c>
      <c r="P199" s="27" t="s">
        <v>117</v>
      </c>
      <c r="Q199" s="27" t="s">
        <v>728</v>
      </c>
    </row>
    <row r="200" spans="1:17" x14ac:dyDescent="0.2">
      <c r="A200" s="27" t="s">
        <v>104</v>
      </c>
      <c r="B200" s="27" t="s">
        <v>6</v>
      </c>
      <c r="C200" s="27"/>
      <c r="D200" s="30">
        <v>45881</v>
      </c>
      <c r="E200" s="27" t="s">
        <v>600</v>
      </c>
      <c r="F200" s="27" t="s">
        <v>718</v>
      </c>
      <c r="H200" s="27" t="s">
        <v>719</v>
      </c>
      <c r="J200" s="27" t="s">
        <v>720</v>
      </c>
      <c r="K200" s="27" t="s">
        <v>1564</v>
      </c>
      <c r="L200" s="28">
        <v>45881</v>
      </c>
      <c r="M200" s="31">
        <v>-120</v>
      </c>
      <c r="N200" s="27" t="s">
        <v>109</v>
      </c>
      <c r="P200" s="27" t="s">
        <v>721</v>
      </c>
      <c r="Q200" s="27" t="s">
        <v>1564</v>
      </c>
    </row>
    <row r="201" spans="1:17" x14ac:dyDescent="0.2">
      <c r="A201" s="27" t="s">
        <v>104</v>
      </c>
      <c r="B201" s="27" t="s">
        <v>5</v>
      </c>
      <c r="C201" s="29" t="s">
        <v>1593</v>
      </c>
      <c r="D201" s="30">
        <v>45882</v>
      </c>
      <c r="E201" s="27" t="s">
        <v>600</v>
      </c>
      <c r="F201" s="27" t="s">
        <v>715</v>
      </c>
      <c r="G201" s="27" t="s">
        <v>389</v>
      </c>
      <c r="H201" s="27" t="s">
        <v>390</v>
      </c>
      <c r="I201" s="27" t="s">
        <v>391</v>
      </c>
      <c r="J201" s="27" t="s">
        <v>392</v>
      </c>
      <c r="K201" s="27" t="s">
        <v>716</v>
      </c>
      <c r="L201" s="28">
        <v>45882</v>
      </c>
      <c r="M201" s="31">
        <v>252.08</v>
      </c>
      <c r="N201" s="27" t="s">
        <v>109</v>
      </c>
      <c r="O201" s="27" t="s">
        <v>199</v>
      </c>
      <c r="P201" s="27" t="s">
        <v>117</v>
      </c>
      <c r="Q201" s="27" t="s">
        <v>717</v>
      </c>
    </row>
    <row r="202" spans="1:17" x14ac:dyDescent="0.2">
      <c r="A202" s="27" t="s">
        <v>104</v>
      </c>
      <c r="B202" s="27" t="s">
        <v>37</v>
      </c>
      <c r="C202" s="27"/>
      <c r="D202" s="30">
        <v>45887</v>
      </c>
      <c r="E202" s="27" t="s">
        <v>600</v>
      </c>
      <c r="F202" s="27" t="s">
        <v>705</v>
      </c>
      <c r="G202" s="27" t="s">
        <v>706</v>
      </c>
      <c r="H202" s="27" t="s">
        <v>707</v>
      </c>
      <c r="K202" s="27" t="s">
        <v>708</v>
      </c>
      <c r="L202" s="28">
        <v>45886</v>
      </c>
      <c r="M202" s="31">
        <v>-250</v>
      </c>
      <c r="N202" s="27" t="s">
        <v>109</v>
      </c>
      <c r="O202" s="27" t="s">
        <v>244</v>
      </c>
      <c r="Q202" s="27" t="s">
        <v>709</v>
      </c>
    </row>
    <row r="203" spans="1:17" x14ac:dyDescent="0.2">
      <c r="A203" s="27" t="s">
        <v>104</v>
      </c>
      <c r="B203" s="27" t="s">
        <v>37</v>
      </c>
      <c r="C203" s="27"/>
      <c r="D203" s="30">
        <v>45887</v>
      </c>
      <c r="E203" s="27" t="s">
        <v>600</v>
      </c>
      <c r="F203" s="27" t="s">
        <v>710</v>
      </c>
      <c r="G203" s="27" t="s">
        <v>706</v>
      </c>
      <c r="H203" s="27" t="s">
        <v>707</v>
      </c>
      <c r="K203" s="27" t="s">
        <v>711</v>
      </c>
      <c r="L203" s="28">
        <v>45886</v>
      </c>
      <c r="M203" s="31">
        <v>-250</v>
      </c>
      <c r="N203" s="27" t="s">
        <v>109</v>
      </c>
      <c r="O203" s="27" t="s">
        <v>244</v>
      </c>
      <c r="Q203" s="27" t="s">
        <v>709</v>
      </c>
    </row>
    <row r="204" spans="1:17" x14ac:dyDescent="0.2">
      <c r="A204" s="27" t="s">
        <v>104</v>
      </c>
      <c r="B204" s="27" t="s">
        <v>8</v>
      </c>
      <c r="C204" s="27"/>
      <c r="D204" s="30">
        <v>45887</v>
      </c>
      <c r="E204" s="27" t="s">
        <v>600</v>
      </c>
      <c r="F204" s="27" t="s">
        <v>712</v>
      </c>
      <c r="H204" s="27" t="s">
        <v>57</v>
      </c>
      <c r="J204" s="27" t="s">
        <v>713</v>
      </c>
      <c r="K204" s="27" t="s">
        <v>714</v>
      </c>
      <c r="L204" s="28">
        <v>45884</v>
      </c>
      <c r="M204" s="31">
        <v>-58</v>
      </c>
      <c r="N204" s="27" t="s">
        <v>109</v>
      </c>
      <c r="P204" s="27" t="s">
        <v>117</v>
      </c>
      <c r="Q204" s="27" t="s">
        <v>714</v>
      </c>
    </row>
    <row r="205" spans="1:17" x14ac:dyDescent="0.2">
      <c r="A205" s="27" t="s">
        <v>104</v>
      </c>
      <c r="B205" s="27" t="s">
        <v>5</v>
      </c>
      <c r="C205" s="29" t="s">
        <v>1593</v>
      </c>
      <c r="D205" s="30">
        <v>45889</v>
      </c>
      <c r="E205" s="27" t="s">
        <v>600</v>
      </c>
      <c r="F205" s="27" t="s">
        <v>700</v>
      </c>
      <c r="G205" s="27" t="s">
        <v>701</v>
      </c>
      <c r="H205" s="27" t="s">
        <v>702</v>
      </c>
      <c r="I205" s="27" t="s">
        <v>325</v>
      </c>
      <c r="J205" s="27" t="s">
        <v>242</v>
      </c>
      <c r="K205" s="27" t="s">
        <v>703</v>
      </c>
      <c r="L205" s="28">
        <v>45889</v>
      </c>
      <c r="M205" s="31">
        <v>46.62</v>
      </c>
      <c r="N205" s="27" t="s">
        <v>109</v>
      </c>
      <c r="O205" s="27" t="s">
        <v>244</v>
      </c>
      <c r="P205" s="27" t="s">
        <v>117</v>
      </c>
      <c r="Q205" s="27" t="s">
        <v>704</v>
      </c>
    </row>
    <row r="206" spans="1:17" x14ac:dyDescent="0.2">
      <c r="A206" s="27" t="s">
        <v>104</v>
      </c>
      <c r="B206" s="27" t="s">
        <v>5</v>
      </c>
      <c r="C206" s="29"/>
      <c r="D206" s="30">
        <v>45890</v>
      </c>
      <c r="E206" s="27" t="s">
        <v>600</v>
      </c>
      <c r="F206" s="27" t="s">
        <v>698</v>
      </c>
      <c r="G206" s="27" t="s">
        <v>620</v>
      </c>
      <c r="H206" s="27" t="s">
        <v>621</v>
      </c>
      <c r="I206" s="27" t="s">
        <v>622</v>
      </c>
      <c r="J206" s="27" t="s">
        <v>242</v>
      </c>
      <c r="K206" s="27" t="s">
        <v>699</v>
      </c>
      <c r="L206" s="28">
        <v>45890</v>
      </c>
      <c r="M206" s="31">
        <v>40</v>
      </c>
      <c r="N206" s="27" t="s">
        <v>109</v>
      </c>
      <c r="O206" s="27" t="s">
        <v>244</v>
      </c>
      <c r="P206" s="27" t="s">
        <v>117</v>
      </c>
      <c r="Q206" s="27" t="s">
        <v>624</v>
      </c>
    </row>
    <row r="207" spans="1:17" x14ac:dyDescent="0.2">
      <c r="A207" s="27" t="s">
        <v>104</v>
      </c>
      <c r="B207" s="27" t="s">
        <v>8</v>
      </c>
      <c r="C207" s="27"/>
      <c r="D207" s="30">
        <v>45894</v>
      </c>
      <c r="E207" s="27" t="s">
        <v>600</v>
      </c>
      <c r="F207" s="27" t="s">
        <v>692</v>
      </c>
      <c r="H207" s="27" t="s">
        <v>693</v>
      </c>
      <c r="J207" s="27" t="s">
        <v>694</v>
      </c>
      <c r="K207" s="27" t="s">
        <v>695</v>
      </c>
      <c r="L207" s="28">
        <v>45894</v>
      </c>
      <c r="M207" s="31">
        <v>-43.98</v>
      </c>
      <c r="N207" s="27" t="s">
        <v>109</v>
      </c>
      <c r="P207" s="27" t="s">
        <v>117</v>
      </c>
      <c r="Q207" s="27" t="s">
        <v>695</v>
      </c>
    </row>
    <row r="208" spans="1:17" x14ac:dyDescent="0.2">
      <c r="A208" s="27" t="s">
        <v>104</v>
      </c>
      <c r="B208" s="27" t="s">
        <v>28</v>
      </c>
      <c r="C208" s="27"/>
      <c r="D208" s="30">
        <v>45894</v>
      </c>
      <c r="E208" s="27" t="s">
        <v>600</v>
      </c>
      <c r="F208" s="27" t="s">
        <v>696</v>
      </c>
      <c r="G208" s="27" t="s">
        <v>29</v>
      </c>
      <c r="H208" s="27" t="s">
        <v>30</v>
      </c>
      <c r="I208" s="27" t="s">
        <v>152</v>
      </c>
      <c r="J208" s="27" t="s">
        <v>153</v>
      </c>
      <c r="K208" s="27" t="s">
        <v>697</v>
      </c>
      <c r="L208" s="28">
        <v>45894</v>
      </c>
      <c r="M208" s="31">
        <v>-500</v>
      </c>
      <c r="N208" s="27" t="s">
        <v>109</v>
      </c>
      <c r="O208" s="27" t="s">
        <v>124</v>
      </c>
      <c r="P208" s="27" t="s">
        <v>117</v>
      </c>
      <c r="Q208" s="27" t="s">
        <v>697</v>
      </c>
    </row>
    <row r="209" spans="1:17" x14ac:dyDescent="0.2">
      <c r="A209" s="27" t="s">
        <v>104</v>
      </c>
      <c r="B209" s="27" t="s">
        <v>41</v>
      </c>
      <c r="C209" s="27"/>
      <c r="D209" s="30">
        <v>45895</v>
      </c>
      <c r="E209" s="27" t="s">
        <v>600</v>
      </c>
      <c r="F209" s="27" t="s">
        <v>686</v>
      </c>
      <c r="H209" s="27" t="s">
        <v>687</v>
      </c>
      <c r="J209" s="27" t="s">
        <v>688</v>
      </c>
      <c r="K209" s="27" t="s">
        <v>689</v>
      </c>
      <c r="L209" s="28">
        <v>45895</v>
      </c>
      <c r="M209" s="31">
        <v>-72.599999999999994</v>
      </c>
      <c r="N209" s="27" t="s">
        <v>109</v>
      </c>
      <c r="P209" s="27" t="s">
        <v>117</v>
      </c>
      <c r="Q209" s="27" t="s">
        <v>689</v>
      </c>
    </row>
    <row r="210" spans="1:17" x14ac:dyDescent="0.2">
      <c r="A210" s="27" t="s">
        <v>104</v>
      </c>
      <c r="B210" s="27" t="s">
        <v>41</v>
      </c>
      <c r="C210" s="27"/>
      <c r="D210" s="30">
        <v>45895</v>
      </c>
      <c r="E210" s="27" t="s">
        <v>600</v>
      </c>
      <c r="F210" s="27" t="s">
        <v>690</v>
      </c>
      <c r="G210" s="27" t="s">
        <v>61</v>
      </c>
      <c r="H210" s="27" t="s">
        <v>1562</v>
      </c>
      <c r="K210" s="27" t="s">
        <v>1563</v>
      </c>
      <c r="L210" s="28">
        <v>45895</v>
      </c>
      <c r="M210" s="31">
        <v>-139.46</v>
      </c>
      <c r="N210" s="27" t="s">
        <v>109</v>
      </c>
      <c r="O210" s="27" t="s">
        <v>124</v>
      </c>
      <c r="Q210" s="27" t="s">
        <v>691</v>
      </c>
    </row>
    <row r="211" spans="1:17" x14ac:dyDescent="0.2">
      <c r="A211" s="27" t="s">
        <v>104</v>
      </c>
      <c r="B211" s="27" t="s">
        <v>13</v>
      </c>
      <c r="C211" s="27"/>
      <c r="D211" s="30">
        <v>45901</v>
      </c>
      <c r="E211" s="27" t="s">
        <v>600</v>
      </c>
      <c r="F211" s="27" t="s">
        <v>683</v>
      </c>
      <c r="G211" s="27" t="s">
        <v>14</v>
      </c>
      <c r="H211" s="27" t="s">
        <v>53</v>
      </c>
      <c r="K211" s="27" t="s">
        <v>684</v>
      </c>
      <c r="L211" s="28">
        <v>45901</v>
      </c>
      <c r="M211" s="31">
        <v>-1400</v>
      </c>
      <c r="N211" s="27" t="s">
        <v>109</v>
      </c>
      <c r="O211" s="27" t="s">
        <v>124</v>
      </c>
      <c r="Q211" s="27" t="s">
        <v>685</v>
      </c>
    </row>
    <row r="212" spans="1:17" x14ac:dyDescent="0.2">
      <c r="A212" s="27" t="s">
        <v>104</v>
      </c>
      <c r="B212" s="27" t="s">
        <v>5</v>
      </c>
      <c r="C212" s="29" t="s">
        <v>1593</v>
      </c>
      <c r="D212" s="30">
        <v>45902</v>
      </c>
      <c r="E212" s="27" t="s">
        <v>600</v>
      </c>
      <c r="F212" s="27" t="s">
        <v>666</v>
      </c>
      <c r="G212" s="27" t="s">
        <v>10</v>
      </c>
      <c r="H212" s="27" t="s">
        <v>294</v>
      </c>
      <c r="I212" s="27" t="s">
        <v>295</v>
      </c>
      <c r="J212" s="27" t="s">
        <v>296</v>
      </c>
      <c r="K212" s="27" t="s">
        <v>1560</v>
      </c>
      <c r="L212" s="28">
        <v>45902</v>
      </c>
      <c r="M212" s="31">
        <v>2287.52</v>
      </c>
      <c r="N212" s="27" t="s">
        <v>109</v>
      </c>
      <c r="O212" s="27" t="s">
        <v>124</v>
      </c>
      <c r="P212" s="27" t="s">
        <v>117</v>
      </c>
      <c r="Q212" s="27" t="s">
        <v>1561</v>
      </c>
    </row>
    <row r="213" spans="1:17" x14ac:dyDescent="0.2">
      <c r="A213" s="27" t="s">
        <v>104</v>
      </c>
      <c r="B213" s="27" t="s">
        <v>5</v>
      </c>
      <c r="C213" s="29" t="s">
        <v>1593</v>
      </c>
      <c r="D213" s="30">
        <v>45902</v>
      </c>
      <c r="E213" s="27" t="s">
        <v>600</v>
      </c>
      <c r="F213" s="27" t="s">
        <v>667</v>
      </c>
      <c r="G213" s="27" t="s">
        <v>668</v>
      </c>
      <c r="H213" s="27" t="s">
        <v>669</v>
      </c>
      <c r="I213" s="27" t="s">
        <v>670</v>
      </c>
      <c r="J213" s="27" t="s">
        <v>242</v>
      </c>
      <c r="K213" s="27" t="s">
        <v>671</v>
      </c>
      <c r="L213" s="28">
        <v>45902</v>
      </c>
      <c r="M213" s="31">
        <v>85</v>
      </c>
      <c r="N213" s="27" t="s">
        <v>109</v>
      </c>
      <c r="O213" s="27" t="s">
        <v>244</v>
      </c>
      <c r="P213" s="27" t="s">
        <v>117</v>
      </c>
      <c r="Q213" s="27" t="s">
        <v>672</v>
      </c>
    </row>
    <row r="214" spans="1:17" x14ac:dyDescent="0.2">
      <c r="A214" s="27" t="s">
        <v>104</v>
      </c>
      <c r="B214" s="27" t="s">
        <v>8</v>
      </c>
      <c r="C214" s="27"/>
      <c r="D214" s="30">
        <v>45902</v>
      </c>
      <c r="E214" s="27" t="s">
        <v>600</v>
      </c>
      <c r="F214" s="27" t="s">
        <v>679</v>
      </c>
      <c r="H214" s="27" t="s">
        <v>680</v>
      </c>
      <c r="J214" s="27" t="s">
        <v>681</v>
      </c>
      <c r="K214" s="27" t="s">
        <v>682</v>
      </c>
      <c r="L214" s="28">
        <v>45902</v>
      </c>
      <c r="M214" s="31">
        <v>-27.99</v>
      </c>
      <c r="N214" s="27" t="s">
        <v>109</v>
      </c>
      <c r="P214" s="27" t="s">
        <v>117</v>
      </c>
      <c r="Q214" s="27" t="s">
        <v>682</v>
      </c>
    </row>
    <row r="215" spans="1:17" x14ac:dyDescent="0.2">
      <c r="A215" s="27" t="s">
        <v>104</v>
      </c>
      <c r="B215" s="27" t="s">
        <v>5</v>
      </c>
      <c r="C215" s="29" t="s">
        <v>1593</v>
      </c>
      <c r="D215" s="30">
        <v>45902</v>
      </c>
      <c r="E215" s="27" t="s">
        <v>600</v>
      </c>
      <c r="F215" s="27" t="s">
        <v>673</v>
      </c>
      <c r="G215" s="27" t="s">
        <v>674</v>
      </c>
      <c r="H215" s="27" t="s">
        <v>675</v>
      </c>
      <c r="I215" s="27" t="s">
        <v>676</v>
      </c>
      <c r="J215" s="27" t="s">
        <v>365</v>
      </c>
      <c r="K215" s="27" t="s">
        <v>677</v>
      </c>
      <c r="L215" s="28">
        <v>45902</v>
      </c>
      <c r="M215" s="31">
        <v>40.79</v>
      </c>
      <c r="N215" s="27" t="s">
        <v>109</v>
      </c>
      <c r="O215" s="27" t="s">
        <v>124</v>
      </c>
      <c r="P215" s="27" t="s">
        <v>117</v>
      </c>
      <c r="Q215" s="27" t="s">
        <v>678</v>
      </c>
    </row>
    <row r="216" spans="1:17" x14ac:dyDescent="0.2">
      <c r="A216" s="27" t="s">
        <v>104</v>
      </c>
      <c r="B216" s="27" t="s">
        <v>5</v>
      </c>
      <c r="C216" s="29" t="s">
        <v>1593</v>
      </c>
      <c r="D216" s="30">
        <v>45903</v>
      </c>
      <c r="E216" s="27" t="s">
        <v>600</v>
      </c>
      <c r="F216" s="27" t="s">
        <v>632</v>
      </c>
      <c r="G216" s="27" t="s">
        <v>15</v>
      </c>
      <c r="H216" s="27" t="s">
        <v>16</v>
      </c>
      <c r="I216" s="27" t="s">
        <v>196</v>
      </c>
      <c r="J216" s="27" t="s">
        <v>197</v>
      </c>
      <c r="K216" s="27" t="s">
        <v>633</v>
      </c>
      <c r="L216" s="28">
        <v>45903</v>
      </c>
      <c r="M216" s="31">
        <v>320.67</v>
      </c>
      <c r="N216" s="27" t="s">
        <v>109</v>
      </c>
      <c r="O216" s="27" t="s">
        <v>199</v>
      </c>
      <c r="P216" s="27" t="s">
        <v>117</v>
      </c>
      <c r="Q216" s="27" t="s">
        <v>634</v>
      </c>
    </row>
    <row r="217" spans="1:17" x14ac:dyDescent="0.2">
      <c r="A217" s="27" t="s">
        <v>104</v>
      </c>
      <c r="B217" s="27" t="s">
        <v>32</v>
      </c>
      <c r="C217" s="27"/>
      <c r="D217" s="30">
        <v>45903</v>
      </c>
      <c r="E217" s="27" t="s">
        <v>600</v>
      </c>
      <c r="F217" s="27" t="s">
        <v>638</v>
      </c>
      <c r="G217" s="27" t="s">
        <v>14</v>
      </c>
      <c r="H217" s="27" t="s">
        <v>363</v>
      </c>
      <c r="I217" s="27" t="s">
        <v>364</v>
      </c>
      <c r="J217" s="27" t="s">
        <v>365</v>
      </c>
      <c r="K217" s="27" t="s">
        <v>639</v>
      </c>
      <c r="L217" s="28">
        <v>45903</v>
      </c>
      <c r="M217" s="31">
        <v>180</v>
      </c>
      <c r="N217" s="27" t="s">
        <v>109</v>
      </c>
      <c r="O217" s="27" t="s">
        <v>124</v>
      </c>
      <c r="P217" s="27" t="s">
        <v>117</v>
      </c>
      <c r="Q217" s="27" t="s">
        <v>640</v>
      </c>
    </row>
    <row r="218" spans="1:17" x14ac:dyDescent="0.2">
      <c r="A218" s="27" t="s">
        <v>104</v>
      </c>
      <c r="B218" s="27" t="s">
        <v>5</v>
      </c>
      <c r="C218" s="29" t="s">
        <v>1593</v>
      </c>
      <c r="D218" s="30">
        <v>45903</v>
      </c>
      <c r="E218" s="27" t="s">
        <v>600</v>
      </c>
      <c r="F218" s="27" t="s">
        <v>644</v>
      </c>
      <c r="G218" s="27" t="s">
        <v>420</v>
      </c>
      <c r="H218" s="27" t="s">
        <v>421</v>
      </c>
      <c r="I218" s="27" t="s">
        <v>422</v>
      </c>
      <c r="J218" s="27" t="s">
        <v>423</v>
      </c>
      <c r="K218" s="27" t="s">
        <v>645</v>
      </c>
      <c r="L218" s="28">
        <v>45903</v>
      </c>
      <c r="M218" s="31">
        <v>116</v>
      </c>
      <c r="N218" s="27" t="s">
        <v>109</v>
      </c>
      <c r="O218" s="27" t="s">
        <v>124</v>
      </c>
      <c r="P218" s="27" t="s">
        <v>117</v>
      </c>
      <c r="Q218" s="27" t="s">
        <v>646</v>
      </c>
    </row>
    <row r="219" spans="1:17" x14ac:dyDescent="0.2">
      <c r="A219" s="27" t="s">
        <v>104</v>
      </c>
      <c r="B219" s="27" t="s">
        <v>8</v>
      </c>
      <c r="C219" s="27"/>
      <c r="D219" s="30">
        <v>45903</v>
      </c>
      <c r="E219" s="27" t="s">
        <v>600</v>
      </c>
      <c r="F219" s="27" t="s">
        <v>635</v>
      </c>
      <c r="G219" s="27" t="s">
        <v>14</v>
      </c>
      <c r="H219" s="27" t="s">
        <v>53</v>
      </c>
      <c r="K219" s="27" t="s">
        <v>636</v>
      </c>
      <c r="L219" s="28">
        <v>45903</v>
      </c>
      <c r="M219" s="31">
        <v>-17.98</v>
      </c>
      <c r="N219" s="27" t="s">
        <v>109</v>
      </c>
      <c r="O219" s="27" t="s">
        <v>124</v>
      </c>
      <c r="Q219" s="27" t="s">
        <v>637</v>
      </c>
    </row>
    <row r="220" spans="1:17" x14ac:dyDescent="0.2">
      <c r="A220" s="27" t="s">
        <v>104</v>
      </c>
      <c r="B220" s="27" t="s">
        <v>5</v>
      </c>
      <c r="C220" s="29" t="s">
        <v>1593</v>
      </c>
      <c r="D220" s="30">
        <v>45903</v>
      </c>
      <c r="E220" s="27" t="s">
        <v>600</v>
      </c>
      <c r="F220" s="27" t="s">
        <v>663</v>
      </c>
      <c r="G220" s="27" t="s">
        <v>380</v>
      </c>
      <c r="H220" s="27" t="s">
        <v>381</v>
      </c>
      <c r="I220" s="27" t="s">
        <v>382</v>
      </c>
      <c r="J220" s="27" t="s">
        <v>276</v>
      </c>
      <c r="K220" s="27" t="s">
        <v>664</v>
      </c>
      <c r="L220" s="28">
        <v>45902</v>
      </c>
      <c r="M220" s="31">
        <v>78</v>
      </c>
      <c r="N220" s="27" t="s">
        <v>109</v>
      </c>
      <c r="O220" s="27" t="s">
        <v>244</v>
      </c>
      <c r="P220" s="27" t="s">
        <v>117</v>
      </c>
      <c r="Q220" s="27" t="s">
        <v>665</v>
      </c>
    </row>
    <row r="221" spans="1:17" x14ac:dyDescent="0.2">
      <c r="A221" s="27" t="s">
        <v>104</v>
      </c>
      <c r="B221" s="27" t="s">
        <v>37</v>
      </c>
      <c r="C221" s="27"/>
      <c r="D221" s="30">
        <v>45903</v>
      </c>
      <c r="E221" s="27" t="s">
        <v>600</v>
      </c>
      <c r="F221" s="27" t="s">
        <v>647</v>
      </c>
      <c r="G221" s="27" t="s">
        <v>648</v>
      </c>
      <c r="H221" s="27" t="s">
        <v>649</v>
      </c>
      <c r="I221" s="27" t="s">
        <v>650</v>
      </c>
      <c r="J221" s="27" t="s">
        <v>651</v>
      </c>
      <c r="K221" s="27" t="s">
        <v>1559</v>
      </c>
      <c r="L221" s="28">
        <v>45903</v>
      </c>
      <c r="M221" s="31">
        <v>-168.2</v>
      </c>
      <c r="N221" s="27" t="s">
        <v>109</v>
      </c>
      <c r="O221" s="27" t="s">
        <v>124</v>
      </c>
      <c r="P221" s="27" t="s">
        <v>117</v>
      </c>
      <c r="Q221" s="27" t="s">
        <v>1559</v>
      </c>
    </row>
    <row r="222" spans="1:17" x14ac:dyDescent="0.2">
      <c r="A222" s="27" t="s">
        <v>104</v>
      </c>
      <c r="B222" s="27" t="s">
        <v>1591</v>
      </c>
      <c r="C222" s="27"/>
      <c r="D222" s="30">
        <v>45903</v>
      </c>
      <c r="E222" s="27" t="s">
        <v>600</v>
      </c>
      <c r="F222" s="27" t="s">
        <v>658</v>
      </c>
      <c r="G222" s="27" t="s">
        <v>9</v>
      </c>
      <c r="K222" s="27" t="s">
        <v>659</v>
      </c>
      <c r="L222" s="28">
        <v>45903</v>
      </c>
      <c r="M222" s="31">
        <v>-204.95</v>
      </c>
      <c r="N222" s="27" t="s">
        <v>109</v>
      </c>
      <c r="O222" s="27" t="s">
        <v>318</v>
      </c>
      <c r="P222" s="27" t="s">
        <v>117</v>
      </c>
      <c r="Q222" s="27" t="s">
        <v>659</v>
      </c>
    </row>
    <row r="223" spans="1:17" x14ac:dyDescent="0.2">
      <c r="A223" s="27" t="s">
        <v>104</v>
      </c>
      <c r="B223" s="27" t="s">
        <v>5</v>
      </c>
      <c r="C223" s="29" t="s">
        <v>1593</v>
      </c>
      <c r="D223" s="30">
        <v>45903</v>
      </c>
      <c r="E223" s="27" t="s">
        <v>600</v>
      </c>
      <c r="F223" s="27" t="s">
        <v>660</v>
      </c>
      <c r="G223" s="27" t="s">
        <v>356</v>
      </c>
      <c r="H223" s="27" t="s">
        <v>357</v>
      </c>
      <c r="I223" s="27" t="s">
        <v>358</v>
      </c>
      <c r="J223" s="27" t="s">
        <v>359</v>
      </c>
      <c r="K223" s="27" t="s">
        <v>661</v>
      </c>
      <c r="L223" s="28">
        <v>45903</v>
      </c>
      <c r="M223" s="31">
        <v>71</v>
      </c>
      <c r="N223" s="27" t="s">
        <v>109</v>
      </c>
      <c r="O223" s="27" t="s">
        <v>143</v>
      </c>
      <c r="P223" s="27" t="s">
        <v>117</v>
      </c>
      <c r="Q223" s="27" t="s">
        <v>662</v>
      </c>
    </row>
    <row r="224" spans="1:17" x14ac:dyDescent="0.2">
      <c r="A224" s="27" t="s">
        <v>104</v>
      </c>
      <c r="B224" s="27" t="s">
        <v>5</v>
      </c>
      <c r="C224" s="29" t="s">
        <v>1593</v>
      </c>
      <c r="D224" s="30">
        <v>45903</v>
      </c>
      <c r="E224" s="27" t="s">
        <v>600</v>
      </c>
      <c r="F224" s="27" t="s">
        <v>655</v>
      </c>
      <c r="G224" s="27" t="s">
        <v>304</v>
      </c>
      <c r="H224" s="27" t="s">
        <v>305</v>
      </c>
      <c r="I224" s="27" t="s">
        <v>1553</v>
      </c>
      <c r="J224" s="27" t="s">
        <v>306</v>
      </c>
      <c r="K224" s="27" t="s">
        <v>656</v>
      </c>
      <c r="L224" s="28">
        <v>45903</v>
      </c>
      <c r="M224" s="31">
        <v>18</v>
      </c>
      <c r="N224" s="27" t="s">
        <v>109</v>
      </c>
      <c r="O224" s="27" t="s">
        <v>218</v>
      </c>
      <c r="P224" s="27" t="s">
        <v>117</v>
      </c>
      <c r="Q224" s="27" t="s">
        <v>657</v>
      </c>
    </row>
    <row r="225" spans="1:17" x14ac:dyDescent="0.2">
      <c r="A225" s="27" t="s">
        <v>104</v>
      </c>
      <c r="B225" s="27" t="s">
        <v>5</v>
      </c>
      <c r="C225" s="29" t="s">
        <v>1593</v>
      </c>
      <c r="D225" s="30">
        <v>45903</v>
      </c>
      <c r="E225" s="27" t="s">
        <v>600</v>
      </c>
      <c r="F225" s="27" t="s">
        <v>641</v>
      </c>
      <c r="G225" s="27" t="s">
        <v>323</v>
      </c>
      <c r="H225" s="27" t="s">
        <v>324</v>
      </c>
      <c r="I225" s="27" t="s">
        <v>325</v>
      </c>
      <c r="J225" s="27" t="s">
        <v>242</v>
      </c>
      <c r="K225" s="27" t="s">
        <v>642</v>
      </c>
      <c r="L225" s="28">
        <v>45903</v>
      </c>
      <c r="M225" s="31">
        <v>14</v>
      </c>
      <c r="N225" s="27" t="s">
        <v>109</v>
      </c>
      <c r="O225" s="27" t="s">
        <v>244</v>
      </c>
      <c r="P225" s="27" t="s">
        <v>117</v>
      </c>
      <c r="Q225" s="27" t="s">
        <v>643</v>
      </c>
    </row>
    <row r="226" spans="1:17" x14ac:dyDescent="0.2">
      <c r="A226" s="27" t="s">
        <v>104</v>
      </c>
      <c r="B226" s="27" t="s">
        <v>5</v>
      </c>
      <c r="C226" s="29" t="s">
        <v>1593</v>
      </c>
      <c r="D226" s="30">
        <v>45903</v>
      </c>
      <c r="E226" s="27" t="s">
        <v>600</v>
      </c>
      <c r="F226" s="27" t="s">
        <v>652</v>
      </c>
      <c r="G226" s="27" t="s">
        <v>304</v>
      </c>
      <c r="H226" s="27" t="s">
        <v>305</v>
      </c>
      <c r="I226" s="27" t="s">
        <v>1553</v>
      </c>
      <c r="J226" s="27" t="s">
        <v>306</v>
      </c>
      <c r="K226" s="27" t="s">
        <v>653</v>
      </c>
      <c r="L226" s="28">
        <v>45903</v>
      </c>
      <c r="M226" s="31">
        <v>9</v>
      </c>
      <c r="N226" s="27" t="s">
        <v>109</v>
      </c>
      <c r="O226" s="27" t="s">
        <v>218</v>
      </c>
      <c r="P226" s="27" t="s">
        <v>117</v>
      </c>
      <c r="Q226" s="27" t="s">
        <v>654</v>
      </c>
    </row>
    <row r="227" spans="1:17" x14ac:dyDescent="0.2">
      <c r="A227" s="27" t="s">
        <v>104</v>
      </c>
      <c r="B227" s="27" t="s">
        <v>12</v>
      </c>
      <c r="C227" s="27"/>
      <c r="D227" s="30">
        <v>45904</v>
      </c>
      <c r="E227" s="27" t="s">
        <v>600</v>
      </c>
      <c r="F227" s="27" t="s">
        <v>631</v>
      </c>
      <c r="K227" s="27" t="s">
        <v>1558</v>
      </c>
      <c r="L227" s="28">
        <v>45901</v>
      </c>
      <c r="M227" s="31">
        <v>-7.5</v>
      </c>
      <c r="N227" s="27" t="s">
        <v>109</v>
      </c>
      <c r="Q227" s="27" t="s">
        <v>1558</v>
      </c>
    </row>
    <row r="228" spans="1:17" x14ac:dyDescent="0.2">
      <c r="A228" s="27" t="s">
        <v>104</v>
      </c>
      <c r="B228" s="27" t="s">
        <v>5</v>
      </c>
      <c r="C228" s="29" t="s">
        <v>1593</v>
      </c>
      <c r="D228" s="30">
        <v>45904</v>
      </c>
      <c r="E228" s="27" t="s">
        <v>600</v>
      </c>
      <c r="F228" s="27" t="s">
        <v>608</v>
      </c>
      <c r="G228" s="27" t="s">
        <v>609</v>
      </c>
      <c r="H228" s="27" t="s">
        <v>610</v>
      </c>
      <c r="I228" s="27" t="s">
        <v>611</v>
      </c>
      <c r="J228" s="27" t="s">
        <v>612</v>
      </c>
      <c r="K228" s="27" t="s">
        <v>613</v>
      </c>
      <c r="L228" s="28">
        <v>45904</v>
      </c>
      <c r="M228" s="31">
        <v>64</v>
      </c>
      <c r="N228" s="27" t="s">
        <v>109</v>
      </c>
      <c r="O228" s="27" t="s">
        <v>614</v>
      </c>
      <c r="P228" s="27" t="s">
        <v>117</v>
      </c>
      <c r="Q228" s="27" t="s">
        <v>615</v>
      </c>
    </row>
    <row r="229" spans="1:17" x14ac:dyDescent="0.2">
      <c r="A229" s="27" t="s">
        <v>104</v>
      </c>
      <c r="B229" s="27" t="s">
        <v>5</v>
      </c>
      <c r="C229" s="29"/>
      <c r="D229" s="30">
        <v>45904</v>
      </c>
      <c r="E229" s="27" t="s">
        <v>600</v>
      </c>
      <c r="F229" s="27" t="s">
        <v>601</v>
      </c>
      <c r="G229" s="27" t="s">
        <v>602</v>
      </c>
      <c r="H229" s="27" t="s">
        <v>603</v>
      </c>
      <c r="J229" s="27" t="s">
        <v>604</v>
      </c>
      <c r="K229" s="27" t="s">
        <v>605</v>
      </c>
      <c r="L229" s="28">
        <v>45904</v>
      </c>
      <c r="M229" s="31">
        <v>40</v>
      </c>
      <c r="N229" s="27" t="s">
        <v>109</v>
      </c>
      <c r="O229" s="27" t="s">
        <v>606</v>
      </c>
      <c r="P229" s="27" t="s">
        <v>117</v>
      </c>
      <c r="Q229" s="27" t="s">
        <v>607</v>
      </c>
    </row>
    <row r="230" spans="1:17" x14ac:dyDescent="0.2">
      <c r="A230" s="27" t="s">
        <v>104</v>
      </c>
      <c r="B230" s="27" t="s">
        <v>5</v>
      </c>
      <c r="C230" s="29"/>
      <c r="D230" s="30">
        <v>45904</v>
      </c>
      <c r="E230" s="27" t="s">
        <v>600</v>
      </c>
      <c r="F230" s="27" t="s">
        <v>619</v>
      </c>
      <c r="G230" s="27" t="s">
        <v>620</v>
      </c>
      <c r="H230" s="27" t="s">
        <v>621</v>
      </c>
      <c r="I230" s="27" t="s">
        <v>622</v>
      </c>
      <c r="J230" s="27" t="s">
        <v>242</v>
      </c>
      <c r="K230" s="27" t="s">
        <v>623</v>
      </c>
      <c r="L230" s="28">
        <v>45904</v>
      </c>
      <c r="M230" s="31">
        <v>40</v>
      </c>
      <c r="N230" s="27" t="s">
        <v>109</v>
      </c>
      <c r="O230" s="27" t="s">
        <v>244</v>
      </c>
      <c r="P230" s="27" t="s">
        <v>117</v>
      </c>
      <c r="Q230" s="27" t="s">
        <v>624</v>
      </c>
    </row>
    <row r="231" spans="1:17" x14ac:dyDescent="0.2">
      <c r="A231" s="27" t="s">
        <v>104</v>
      </c>
      <c r="B231" s="27" t="s">
        <v>5</v>
      </c>
      <c r="C231" s="29" t="s">
        <v>1593</v>
      </c>
      <c r="D231" s="30">
        <v>45904</v>
      </c>
      <c r="E231" s="27" t="s">
        <v>600</v>
      </c>
      <c r="F231" s="27" t="s">
        <v>616</v>
      </c>
      <c r="G231" s="27" t="s">
        <v>399</v>
      </c>
      <c r="H231" s="27" t="s">
        <v>400</v>
      </c>
      <c r="I231" s="27" t="s">
        <v>401</v>
      </c>
      <c r="J231" s="27" t="s">
        <v>402</v>
      </c>
      <c r="K231" s="27" t="s">
        <v>617</v>
      </c>
      <c r="L231" s="28">
        <v>45904</v>
      </c>
      <c r="M231" s="31">
        <v>20</v>
      </c>
      <c r="N231" s="27" t="s">
        <v>109</v>
      </c>
      <c r="O231" s="27" t="s">
        <v>186</v>
      </c>
      <c r="P231" s="27" t="s">
        <v>117</v>
      </c>
      <c r="Q231" s="27" t="s">
        <v>618</v>
      </c>
    </row>
    <row r="232" spans="1:17" x14ac:dyDescent="0.2">
      <c r="A232" s="27" t="s">
        <v>104</v>
      </c>
      <c r="B232" s="27" t="s">
        <v>5</v>
      </c>
      <c r="C232" s="29" t="s">
        <v>1593</v>
      </c>
      <c r="D232" s="30">
        <v>45904</v>
      </c>
      <c r="E232" s="27" t="s">
        <v>600</v>
      </c>
      <c r="F232" s="27" t="s">
        <v>625</v>
      </c>
      <c r="G232" s="27" t="s">
        <v>626</v>
      </c>
      <c r="H232" s="27" t="s">
        <v>627</v>
      </c>
      <c r="I232" s="27" t="s">
        <v>628</v>
      </c>
      <c r="J232" s="27" t="s">
        <v>159</v>
      </c>
      <c r="K232" s="27" t="s">
        <v>629</v>
      </c>
      <c r="L232" s="28">
        <v>45904</v>
      </c>
      <c r="M232" s="31">
        <v>9</v>
      </c>
      <c r="N232" s="27" t="s">
        <v>109</v>
      </c>
      <c r="O232" s="27" t="s">
        <v>143</v>
      </c>
      <c r="P232" s="27" t="s">
        <v>117</v>
      </c>
      <c r="Q232" s="27" t="s">
        <v>630</v>
      </c>
    </row>
    <row r="233" spans="1:17" x14ac:dyDescent="0.2">
      <c r="A233" s="27" t="s">
        <v>104</v>
      </c>
      <c r="B233" s="27" t="s">
        <v>5</v>
      </c>
      <c r="C233" s="29" t="s">
        <v>1593</v>
      </c>
      <c r="D233" s="30">
        <v>45905</v>
      </c>
      <c r="E233" s="27" t="s">
        <v>466</v>
      </c>
      <c r="F233" s="27" t="s">
        <v>586</v>
      </c>
      <c r="G233" s="27" t="s">
        <v>19</v>
      </c>
      <c r="H233" s="27" t="s">
        <v>75</v>
      </c>
      <c r="I233" s="27" t="s">
        <v>529</v>
      </c>
      <c r="J233" s="27" t="s">
        <v>530</v>
      </c>
      <c r="K233" s="27" t="s">
        <v>587</v>
      </c>
      <c r="L233" s="28">
        <v>45905</v>
      </c>
      <c r="M233" s="31">
        <v>1081.25</v>
      </c>
      <c r="N233" s="27" t="s">
        <v>109</v>
      </c>
      <c r="O233" s="27" t="s">
        <v>143</v>
      </c>
      <c r="P233" s="27" t="s">
        <v>117</v>
      </c>
      <c r="Q233" s="27" t="s">
        <v>588</v>
      </c>
    </row>
    <row r="234" spans="1:17" x14ac:dyDescent="0.2">
      <c r="A234" s="27" t="s">
        <v>104</v>
      </c>
      <c r="B234" s="27" t="s">
        <v>5</v>
      </c>
      <c r="C234" s="29" t="s">
        <v>1593</v>
      </c>
      <c r="D234" s="30">
        <v>45905</v>
      </c>
      <c r="E234" s="27" t="s">
        <v>466</v>
      </c>
      <c r="F234" s="27" t="s">
        <v>577</v>
      </c>
      <c r="G234" s="27" t="s">
        <v>389</v>
      </c>
      <c r="H234" s="27" t="s">
        <v>390</v>
      </c>
      <c r="I234" s="27" t="s">
        <v>391</v>
      </c>
      <c r="J234" s="27" t="s">
        <v>392</v>
      </c>
      <c r="K234" s="27" t="s">
        <v>578</v>
      </c>
      <c r="L234" s="28">
        <v>45905</v>
      </c>
      <c r="M234" s="31">
        <v>40.79</v>
      </c>
      <c r="N234" s="27" t="s">
        <v>109</v>
      </c>
      <c r="O234" s="27" t="s">
        <v>199</v>
      </c>
      <c r="P234" s="27" t="s">
        <v>117</v>
      </c>
      <c r="Q234" s="27" t="s">
        <v>579</v>
      </c>
    </row>
    <row r="235" spans="1:17" x14ac:dyDescent="0.2">
      <c r="A235" s="27" t="s">
        <v>104</v>
      </c>
      <c r="B235" s="27" t="s">
        <v>5</v>
      </c>
      <c r="C235" s="29" t="s">
        <v>1593</v>
      </c>
      <c r="D235" s="30">
        <v>45905</v>
      </c>
      <c r="E235" s="27" t="s">
        <v>466</v>
      </c>
      <c r="F235" s="27" t="s">
        <v>589</v>
      </c>
      <c r="G235" s="27" t="s">
        <v>48</v>
      </c>
      <c r="H235" s="27" t="s">
        <v>49</v>
      </c>
      <c r="I235" s="27" t="s">
        <v>590</v>
      </c>
      <c r="J235" s="27" t="s">
        <v>359</v>
      </c>
      <c r="K235" s="27" t="s">
        <v>591</v>
      </c>
      <c r="L235" s="28">
        <v>45905</v>
      </c>
      <c r="M235" s="31">
        <v>40.79</v>
      </c>
      <c r="N235" s="27" t="s">
        <v>109</v>
      </c>
      <c r="O235" s="27" t="s">
        <v>143</v>
      </c>
      <c r="P235" s="27" t="s">
        <v>117</v>
      </c>
      <c r="Q235" s="27" t="s">
        <v>592</v>
      </c>
    </row>
    <row r="236" spans="1:17" x14ac:dyDescent="0.2">
      <c r="A236" s="27" t="s">
        <v>104</v>
      </c>
      <c r="B236" s="27" t="s">
        <v>5</v>
      </c>
      <c r="C236" s="29" t="s">
        <v>1593</v>
      </c>
      <c r="D236" s="30">
        <v>45905</v>
      </c>
      <c r="E236" s="27" t="s">
        <v>466</v>
      </c>
      <c r="F236" s="27" t="s">
        <v>593</v>
      </c>
      <c r="G236" s="27" t="s">
        <v>594</v>
      </c>
      <c r="H236" s="27" t="s">
        <v>595</v>
      </c>
      <c r="I236" s="27" t="s">
        <v>596</v>
      </c>
      <c r="J236" s="27" t="s">
        <v>597</v>
      </c>
      <c r="K236" s="27" t="s">
        <v>598</v>
      </c>
      <c r="L236" s="28">
        <v>45904</v>
      </c>
      <c r="M236" s="31">
        <v>18</v>
      </c>
      <c r="N236" s="27" t="s">
        <v>109</v>
      </c>
      <c r="O236" s="27" t="s">
        <v>244</v>
      </c>
      <c r="P236" s="27" t="s">
        <v>117</v>
      </c>
      <c r="Q236" s="27" t="s">
        <v>599</v>
      </c>
    </row>
    <row r="237" spans="1:17" x14ac:dyDescent="0.2">
      <c r="A237" s="27" t="s">
        <v>104</v>
      </c>
      <c r="B237" s="27" t="s">
        <v>5</v>
      </c>
      <c r="C237" s="29" t="s">
        <v>1593</v>
      </c>
      <c r="D237" s="30">
        <v>45905</v>
      </c>
      <c r="E237" s="27" t="s">
        <v>466</v>
      </c>
      <c r="F237" s="27" t="s">
        <v>580</v>
      </c>
      <c r="G237" s="27" t="s">
        <v>581</v>
      </c>
      <c r="H237" s="27" t="s">
        <v>582</v>
      </c>
      <c r="I237" s="27" t="s">
        <v>583</v>
      </c>
      <c r="J237" s="27" t="s">
        <v>276</v>
      </c>
      <c r="K237" s="27" t="s">
        <v>584</v>
      </c>
      <c r="L237" s="28">
        <v>45905</v>
      </c>
      <c r="M237" s="31">
        <v>14</v>
      </c>
      <c r="N237" s="27" t="s">
        <v>109</v>
      </c>
      <c r="O237" s="27" t="s">
        <v>244</v>
      </c>
      <c r="P237" s="27" t="s">
        <v>117</v>
      </c>
      <c r="Q237" s="27" t="s">
        <v>585</v>
      </c>
    </row>
    <row r="238" spans="1:17" x14ac:dyDescent="0.2">
      <c r="A238" s="27" t="s">
        <v>104</v>
      </c>
      <c r="B238" s="27" t="s">
        <v>5</v>
      </c>
      <c r="C238" s="29" t="s">
        <v>1593</v>
      </c>
      <c r="D238" s="30">
        <v>45908</v>
      </c>
      <c r="E238" s="27" t="s">
        <v>466</v>
      </c>
      <c r="F238" s="27" t="s">
        <v>564</v>
      </c>
      <c r="G238" s="27" t="s">
        <v>565</v>
      </c>
      <c r="H238" s="27" t="s">
        <v>566</v>
      </c>
      <c r="I238" s="27" t="s">
        <v>567</v>
      </c>
      <c r="J238" s="27" t="s">
        <v>568</v>
      </c>
      <c r="K238" s="27" t="s">
        <v>569</v>
      </c>
      <c r="L238" s="28">
        <v>45908</v>
      </c>
      <c r="M238" s="31">
        <v>77</v>
      </c>
      <c r="N238" s="27" t="s">
        <v>109</v>
      </c>
      <c r="O238" s="27" t="s">
        <v>124</v>
      </c>
      <c r="P238" s="27" t="s">
        <v>117</v>
      </c>
      <c r="Q238" s="27" t="s">
        <v>570</v>
      </c>
    </row>
    <row r="239" spans="1:17" x14ac:dyDescent="0.2">
      <c r="A239" s="27" t="s">
        <v>104</v>
      </c>
      <c r="B239" s="27" t="s">
        <v>5</v>
      </c>
      <c r="C239" s="29" t="s">
        <v>1593</v>
      </c>
      <c r="D239" s="30">
        <v>45908</v>
      </c>
      <c r="E239" s="27" t="s">
        <v>466</v>
      </c>
      <c r="F239" s="27" t="s">
        <v>571</v>
      </c>
      <c r="G239" s="27" t="s">
        <v>572</v>
      </c>
      <c r="H239" s="27" t="s">
        <v>573</v>
      </c>
      <c r="I239" s="27" t="s">
        <v>574</v>
      </c>
      <c r="J239" s="27" t="s">
        <v>159</v>
      </c>
      <c r="K239" s="27" t="s">
        <v>575</v>
      </c>
      <c r="L239" s="28">
        <v>45905</v>
      </c>
      <c r="M239" s="31">
        <v>77</v>
      </c>
      <c r="N239" s="27" t="s">
        <v>109</v>
      </c>
      <c r="O239" s="27" t="s">
        <v>244</v>
      </c>
      <c r="P239" s="27" t="s">
        <v>117</v>
      </c>
      <c r="Q239" s="27" t="s">
        <v>576</v>
      </c>
    </row>
    <row r="240" spans="1:17" x14ac:dyDescent="0.2">
      <c r="A240" s="27" t="s">
        <v>104</v>
      </c>
      <c r="B240" s="27" t="s">
        <v>5</v>
      </c>
      <c r="C240" s="29"/>
      <c r="D240" s="30">
        <v>45908</v>
      </c>
      <c r="E240" s="27" t="s">
        <v>466</v>
      </c>
      <c r="F240" s="27" t="s">
        <v>562</v>
      </c>
      <c r="G240" s="27" t="s">
        <v>536</v>
      </c>
      <c r="H240" s="27" t="s">
        <v>537</v>
      </c>
      <c r="I240" s="27" t="s">
        <v>538</v>
      </c>
      <c r="J240" s="27" t="s">
        <v>276</v>
      </c>
      <c r="K240" s="27" t="s">
        <v>563</v>
      </c>
      <c r="L240" s="28">
        <v>45908</v>
      </c>
      <c r="M240" s="31">
        <v>40</v>
      </c>
      <c r="N240" s="27" t="s">
        <v>109</v>
      </c>
      <c r="O240" s="27" t="s">
        <v>244</v>
      </c>
      <c r="P240" s="27" t="s">
        <v>117</v>
      </c>
      <c r="Q240" s="27" t="s">
        <v>540</v>
      </c>
    </row>
    <row r="241" spans="1:17" x14ac:dyDescent="0.2">
      <c r="A241" s="27" t="s">
        <v>104</v>
      </c>
      <c r="B241" s="27" t="s">
        <v>13</v>
      </c>
      <c r="C241" s="27"/>
      <c r="D241" s="30">
        <v>45909</v>
      </c>
      <c r="E241" s="27" t="s">
        <v>466</v>
      </c>
      <c r="F241" s="27" t="s">
        <v>557</v>
      </c>
      <c r="G241" s="27" t="s">
        <v>14</v>
      </c>
      <c r="H241" s="27" t="s">
        <v>53</v>
      </c>
      <c r="K241" s="27" t="s">
        <v>558</v>
      </c>
      <c r="L241" s="28">
        <v>45909</v>
      </c>
      <c r="M241" s="31">
        <v>-1000</v>
      </c>
      <c r="N241" s="27" t="s">
        <v>109</v>
      </c>
      <c r="O241" s="27" t="s">
        <v>124</v>
      </c>
      <c r="Q241" s="27" t="s">
        <v>508</v>
      </c>
    </row>
    <row r="242" spans="1:17" x14ac:dyDescent="0.2">
      <c r="A242" s="27" t="s">
        <v>104</v>
      </c>
      <c r="B242" s="27" t="s">
        <v>5</v>
      </c>
      <c r="C242" s="29" t="s">
        <v>1593</v>
      </c>
      <c r="D242" s="30">
        <v>45909</v>
      </c>
      <c r="E242" s="27" t="s">
        <v>466</v>
      </c>
      <c r="F242" s="27" t="s">
        <v>559</v>
      </c>
      <c r="G242" s="27" t="s">
        <v>227</v>
      </c>
      <c r="H242" s="27" t="s">
        <v>412</v>
      </c>
      <c r="I242" s="27" t="s">
        <v>229</v>
      </c>
      <c r="J242" s="27" t="s">
        <v>230</v>
      </c>
      <c r="K242" s="27" t="s">
        <v>560</v>
      </c>
      <c r="L242" s="28">
        <v>45909</v>
      </c>
      <c r="M242" s="31">
        <v>83</v>
      </c>
      <c r="N242" s="27" t="s">
        <v>109</v>
      </c>
      <c r="O242" s="27" t="s">
        <v>143</v>
      </c>
      <c r="P242" s="27" t="s">
        <v>117</v>
      </c>
      <c r="Q242" s="27" t="s">
        <v>561</v>
      </c>
    </row>
    <row r="243" spans="1:17" x14ac:dyDescent="0.2">
      <c r="A243" s="27" t="s">
        <v>104</v>
      </c>
      <c r="B243" s="27" t="s">
        <v>5</v>
      </c>
      <c r="C243" s="29" t="s">
        <v>1593</v>
      </c>
      <c r="D243" s="30">
        <v>45911</v>
      </c>
      <c r="E243" s="27" t="s">
        <v>466</v>
      </c>
      <c r="F243" s="27" t="s">
        <v>554</v>
      </c>
      <c r="G243" s="27" t="s">
        <v>44</v>
      </c>
      <c r="H243" s="27" t="s">
        <v>76</v>
      </c>
      <c r="I243" s="27" t="s">
        <v>174</v>
      </c>
      <c r="J243" s="27" t="s">
        <v>175</v>
      </c>
      <c r="K243" s="27" t="s">
        <v>555</v>
      </c>
      <c r="L243" s="28">
        <v>45911</v>
      </c>
      <c r="M243" s="31">
        <v>100.4</v>
      </c>
      <c r="N243" s="27" t="s">
        <v>109</v>
      </c>
      <c r="O243" s="27" t="s">
        <v>143</v>
      </c>
      <c r="P243" s="27" t="s">
        <v>117</v>
      </c>
      <c r="Q243" s="27" t="s">
        <v>556</v>
      </c>
    </row>
    <row r="244" spans="1:17" x14ac:dyDescent="0.2">
      <c r="A244" s="27" t="s">
        <v>104</v>
      </c>
      <c r="B244" s="27" t="s">
        <v>5</v>
      </c>
      <c r="C244" s="29" t="s">
        <v>1593</v>
      </c>
      <c r="D244" s="30">
        <v>45912</v>
      </c>
      <c r="E244" s="27" t="s">
        <v>466</v>
      </c>
      <c r="F244" s="27" t="s">
        <v>548</v>
      </c>
      <c r="G244" s="27" t="s">
        <v>549</v>
      </c>
      <c r="H244" s="27" t="s">
        <v>550</v>
      </c>
      <c r="I244" s="27" t="s">
        <v>551</v>
      </c>
      <c r="J244" s="27" t="s">
        <v>276</v>
      </c>
      <c r="K244" s="27" t="s">
        <v>552</v>
      </c>
      <c r="L244" s="28">
        <v>45912</v>
      </c>
      <c r="M244" s="31">
        <v>71</v>
      </c>
      <c r="N244" s="27" t="s">
        <v>109</v>
      </c>
      <c r="O244" s="27" t="s">
        <v>244</v>
      </c>
      <c r="P244" s="27" t="s">
        <v>117</v>
      </c>
      <c r="Q244" s="27" t="s">
        <v>553</v>
      </c>
    </row>
    <row r="245" spans="1:17" x14ac:dyDescent="0.2">
      <c r="A245" s="27" t="s">
        <v>104</v>
      </c>
      <c r="B245" s="27" t="s">
        <v>52</v>
      </c>
      <c r="C245" s="27"/>
      <c r="D245" s="30">
        <v>45915</v>
      </c>
      <c r="E245" s="27" t="s">
        <v>466</v>
      </c>
      <c r="F245" s="27" t="s">
        <v>533</v>
      </c>
      <c r="H245" s="27" t="s">
        <v>170</v>
      </c>
      <c r="J245" s="27" t="s">
        <v>171</v>
      </c>
      <c r="K245" s="27" t="s">
        <v>534</v>
      </c>
      <c r="L245" s="28">
        <v>45915</v>
      </c>
      <c r="M245" s="31">
        <v>-48.7</v>
      </c>
      <c r="N245" s="27" t="s">
        <v>109</v>
      </c>
      <c r="P245" s="27" t="s">
        <v>117</v>
      </c>
      <c r="Q245" s="27" t="s">
        <v>534</v>
      </c>
    </row>
    <row r="246" spans="1:17" x14ac:dyDescent="0.2">
      <c r="A246" s="27" t="s">
        <v>104</v>
      </c>
      <c r="B246" s="27" t="s">
        <v>6</v>
      </c>
      <c r="C246" s="27"/>
      <c r="D246" s="30">
        <v>45915</v>
      </c>
      <c r="E246" s="27" t="s">
        <v>466</v>
      </c>
      <c r="F246" s="27" t="s">
        <v>541</v>
      </c>
      <c r="G246" s="27" t="s">
        <v>14</v>
      </c>
      <c r="H246" s="27" t="s">
        <v>53</v>
      </c>
      <c r="K246" s="27" t="s">
        <v>542</v>
      </c>
      <c r="L246" s="28">
        <v>45915</v>
      </c>
      <c r="M246" s="31">
        <v>-295</v>
      </c>
      <c r="N246" s="27" t="s">
        <v>109</v>
      </c>
      <c r="O246" s="27" t="s">
        <v>124</v>
      </c>
      <c r="Q246" s="27" t="s">
        <v>543</v>
      </c>
    </row>
    <row r="247" spans="1:17" x14ac:dyDescent="0.2">
      <c r="A247" s="27" t="s">
        <v>104</v>
      </c>
      <c r="B247" s="27" t="s">
        <v>6</v>
      </c>
      <c r="C247" s="27"/>
      <c r="D247" s="30">
        <v>45915</v>
      </c>
      <c r="E247" s="27" t="s">
        <v>466</v>
      </c>
      <c r="F247" s="27" t="s">
        <v>544</v>
      </c>
      <c r="G247" s="27" t="s">
        <v>61</v>
      </c>
      <c r="H247" s="27" t="s">
        <v>545</v>
      </c>
      <c r="K247" s="27" t="s">
        <v>546</v>
      </c>
      <c r="L247" s="28">
        <v>45913</v>
      </c>
      <c r="M247" s="31">
        <v>-113</v>
      </c>
      <c r="N247" s="27" t="s">
        <v>109</v>
      </c>
      <c r="O247" s="27" t="s">
        <v>124</v>
      </c>
      <c r="Q247" s="27" t="s">
        <v>547</v>
      </c>
    </row>
    <row r="248" spans="1:17" x14ac:dyDescent="0.2">
      <c r="A248" s="27" t="s">
        <v>104</v>
      </c>
      <c r="B248" s="27" t="s">
        <v>5</v>
      </c>
      <c r="C248" s="29"/>
      <c r="D248" s="30">
        <v>45915</v>
      </c>
      <c r="E248" s="27" t="s">
        <v>466</v>
      </c>
      <c r="F248" s="27" t="s">
        <v>535</v>
      </c>
      <c r="G248" s="27" t="s">
        <v>536</v>
      </c>
      <c r="H248" s="27" t="s">
        <v>537</v>
      </c>
      <c r="I248" s="27" t="s">
        <v>538</v>
      </c>
      <c r="J248" s="27" t="s">
        <v>276</v>
      </c>
      <c r="K248" s="27" t="s">
        <v>539</v>
      </c>
      <c r="L248" s="28">
        <v>45915</v>
      </c>
      <c r="M248" s="31">
        <v>40</v>
      </c>
      <c r="N248" s="27" t="s">
        <v>109</v>
      </c>
      <c r="O248" s="27" t="s">
        <v>244</v>
      </c>
      <c r="P248" s="27" t="s">
        <v>117</v>
      </c>
      <c r="Q248" s="27" t="s">
        <v>540</v>
      </c>
    </row>
    <row r="249" spans="1:17" x14ac:dyDescent="0.2">
      <c r="A249" s="27" t="s">
        <v>104</v>
      </c>
      <c r="B249" s="27" t="s">
        <v>5</v>
      </c>
      <c r="C249" s="29" t="s">
        <v>1593</v>
      </c>
      <c r="D249" s="30">
        <v>45917</v>
      </c>
      <c r="E249" s="27" t="s">
        <v>466</v>
      </c>
      <c r="F249" s="27" t="s">
        <v>528</v>
      </c>
      <c r="G249" s="27" t="s">
        <v>19</v>
      </c>
      <c r="H249" s="27" t="s">
        <v>75</v>
      </c>
      <c r="I249" s="27" t="s">
        <v>529</v>
      </c>
      <c r="J249" s="27" t="s">
        <v>530</v>
      </c>
      <c r="K249" s="27" t="s">
        <v>531</v>
      </c>
      <c r="L249" s="28">
        <v>45917</v>
      </c>
      <c r="M249" s="31">
        <v>46.62</v>
      </c>
      <c r="N249" s="27" t="s">
        <v>109</v>
      </c>
      <c r="O249" s="27" t="s">
        <v>143</v>
      </c>
      <c r="P249" s="27" t="s">
        <v>117</v>
      </c>
      <c r="Q249" s="27" t="s">
        <v>532</v>
      </c>
    </row>
    <row r="250" spans="1:17" x14ac:dyDescent="0.2">
      <c r="A250" s="27" t="s">
        <v>104</v>
      </c>
      <c r="B250" s="27" t="s">
        <v>6</v>
      </c>
      <c r="C250" s="27"/>
      <c r="D250" s="30">
        <v>45918</v>
      </c>
      <c r="E250" s="27" t="s">
        <v>466</v>
      </c>
      <c r="F250" s="27" t="s">
        <v>512</v>
      </c>
      <c r="H250" s="27" t="s">
        <v>510</v>
      </c>
      <c r="J250" s="27" t="s">
        <v>115</v>
      </c>
      <c r="K250" s="27" t="s">
        <v>513</v>
      </c>
      <c r="L250" s="28">
        <v>45918</v>
      </c>
      <c r="M250" s="31">
        <v>-5.2</v>
      </c>
      <c r="N250" s="27" t="s">
        <v>109</v>
      </c>
      <c r="P250" s="27" t="s">
        <v>117</v>
      </c>
      <c r="Q250" s="27" t="s">
        <v>513</v>
      </c>
    </row>
    <row r="251" spans="1:17" x14ac:dyDescent="0.2">
      <c r="A251" s="27" t="s">
        <v>104</v>
      </c>
      <c r="B251" s="27" t="s">
        <v>5</v>
      </c>
      <c r="C251" s="29"/>
      <c r="D251" s="30">
        <v>45918</v>
      </c>
      <c r="E251" s="27" t="s">
        <v>466</v>
      </c>
      <c r="F251" s="27" t="s">
        <v>514</v>
      </c>
      <c r="G251" s="27" t="s">
        <v>515</v>
      </c>
      <c r="H251" s="27" t="s">
        <v>516</v>
      </c>
      <c r="I251" s="27" t="s">
        <v>517</v>
      </c>
      <c r="J251" s="27" t="s">
        <v>518</v>
      </c>
      <c r="K251" s="27" t="s">
        <v>519</v>
      </c>
      <c r="L251" s="28">
        <v>45918</v>
      </c>
      <c r="M251" s="31">
        <v>40</v>
      </c>
      <c r="N251" s="27" t="s">
        <v>109</v>
      </c>
      <c r="O251" s="27" t="s">
        <v>143</v>
      </c>
      <c r="P251" s="27" t="s">
        <v>117</v>
      </c>
      <c r="Q251" s="27" t="s">
        <v>520</v>
      </c>
    </row>
    <row r="252" spans="1:17" x14ac:dyDescent="0.2">
      <c r="A252" s="27" t="s">
        <v>104</v>
      </c>
      <c r="B252" s="27" t="s">
        <v>5</v>
      </c>
      <c r="C252" s="29"/>
      <c r="D252" s="30">
        <v>45918</v>
      </c>
      <c r="E252" s="27" t="s">
        <v>466</v>
      </c>
      <c r="F252" s="27" t="s">
        <v>521</v>
      </c>
      <c r="G252" s="27" t="s">
        <v>522</v>
      </c>
      <c r="H252" s="27" t="s">
        <v>523</v>
      </c>
      <c r="I252" s="27" t="s">
        <v>524</v>
      </c>
      <c r="J252" s="27" t="s">
        <v>525</v>
      </c>
      <c r="K252" s="27" t="s">
        <v>526</v>
      </c>
      <c r="L252" s="28">
        <v>45918</v>
      </c>
      <c r="M252" s="31">
        <v>40</v>
      </c>
      <c r="N252" s="27" t="s">
        <v>109</v>
      </c>
      <c r="O252" s="27" t="s">
        <v>244</v>
      </c>
      <c r="P252" s="27" t="s">
        <v>117</v>
      </c>
      <c r="Q252" s="27" t="s">
        <v>527</v>
      </c>
    </row>
    <row r="253" spans="1:17" x14ac:dyDescent="0.2">
      <c r="A253" s="27" t="s">
        <v>104</v>
      </c>
      <c r="B253" s="27" t="s">
        <v>13</v>
      </c>
      <c r="C253" s="27"/>
      <c r="D253" s="30">
        <v>45919</v>
      </c>
      <c r="E253" s="27" t="s">
        <v>466</v>
      </c>
      <c r="F253" s="27" t="s">
        <v>506</v>
      </c>
      <c r="G253" s="27" t="s">
        <v>14</v>
      </c>
      <c r="H253" s="27" t="s">
        <v>53</v>
      </c>
      <c r="K253" s="27" t="s">
        <v>507</v>
      </c>
      <c r="L253" s="28">
        <v>45919</v>
      </c>
      <c r="M253" s="31">
        <v>-1000</v>
      </c>
      <c r="N253" s="27" t="s">
        <v>109</v>
      </c>
      <c r="O253" s="27" t="s">
        <v>124</v>
      </c>
      <c r="Q253" s="27" t="s">
        <v>508</v>
      </c>
    </row>
    <row r="254" spans="1:17" x14ac:dyDescent="0.2">
      <c r="A254" s="27" t="s">
        <v>104</v>
      </c>
      <c r="B254" s="27" t="s">
        <v>6</v>
      </c>
      <c r="C254" s="27"/>
      <c r="D254" s="30">
        <v>45919</v>
      </c>
      <c r="E254" s="27" t="s">
        <v>466</v>
      </c>
      <c r="F254" s="27" t="s">
        <v>509</v>
      </c>
      <c r="H254" s="27" t="s">
        <v>510</v>
      </c>
      <c r="J254" s="27" t="s">
        <v>115</v>
      </c>
      <c r="K254" s="27" t="s">
        <v>511</v>
      </c>
      <c r="L254" s="28">
        <v>45918</v>
      </c>
      <c r="M254" s="31">
        <v>-4</v>
      </c>
      <c r="N254" s="27" t="s">
        <v>109</v>
      </c>
      <c r="P254" s="27" t="s">
        <v>117</v>
      </c>
      <c r="Q254" s="27" t="s">
        <v>511</v>
      </c>
    </row>
    <row r="255" spans="1:17" x14ac:dyDescent="0.2">
      <c r="A255" s="27" t="s">
        <v>104</v>
      </c>
      <c r="B255" s="27" t="s">
        <v>6</v>
      </c>
      <c r="C255" s="27"/>
      <c r="D255" s="30">
        <v>45923</v>
      </c>
      <c r="E255" s="27" t="s">
        <v>466</v>
      </c>
      <c r="F255" s="27" t="s">
        <v>497</v>
      </c>
      <c r="G255" s="27" t="s">
        <v>498</v>
      </c>
      <c r="H255" s="27" t="s">
        <v>499</v>
      </c>
      <c r="K255" s="27" t="s">
        <v>500</v>
      </c>
      <c r="L255" s="28">
        <v>45923</v>
      </c>
      <c r="M255" s="31">
        <v>-1365</v>
      </c>
      <c r="N255" s="27" t="s">
        <v>109</v>
      </c>
      <c r="O255" s="27" t="s">
        <v>244</v>
      </c>
      <c r="Q255" s="27" t="s">
        <v>501</v>
      </c>
    </row>
    <row r="256" spans="1:17" x14ac:dyDescent="0.2">
      <c r="A256" s="27" t="s">
        <v>104</v>
      </c>
      <c r="B256" s="27" t="s">
        <v>6</v>
      </c>
      <c r="C256" s="27"/>
      <c r="D256" s="30">
        <v>45923</v>
      </c>
      <c r="E256" s="27" t="s">
        <v>466</v>
      </c>
      <c r="F256" s="27" t="s">
        <v>502</v>
      </c>
      <c r="H256" s="27" t="s">
        <v>503</v>
      </c>
      <c r="J256" s="27" t="s">
        <v>504</v>
      </c>
      <c r="K256" s="27" t="s">
        <v>505</v>
      </c>
      <c r="L256" s="28">
        <v>45923</v>
      </c>
      <c r="M256" s="31">
        <v>-10</v>
      </c>
      <c r="N256" s="27" t="s">
        <v>109</v>
      </c>
      <c r="P256" s="27" t="s">
        <v>117</v>
      </c>
      <c r="Q256" s="27" t="s">
        <v>505</v>
      </c>
    </row>
    <row r="257" spans="1:17" x14ac:dyDescent="0.2">
      <c r="A257" s="27" t="s">
        <v>104</v>
      </c>
      <c r="B257" s="27" t="s">
        <v>6</v>
      </c>
      <c r="C257" s="27"/>
      <c r="D257" s="30">
        <v>45924</v>
      </c>
      <c r="E257" s="27" t="s">
        <v>466</v>
      </c>
      <c r="F257" s="27" t="s">
        <v>489</v>
      </c>
      <c r="H257" s="27" t="s">
        <v>490</v>
      </c>
      <c r="J257" s="27" t="s">
        <v>491</v>
      </c>
      <c r="K257" s="27" t="s">
        <v>1557</v>
      </c>
      <c r="L257" s="28">
        <v>45924</v>
      </c>
      <c r="M257" s="31">
        <v>-2.2000000000000002</v>
      </c>
      <c r="N257" s="27" t="s">
        <v>109</v>
      </c>
      <c r="P257" s="27" t="s">
        <v>117</v>
      </c>
      <c r="Q257" s="27" t="s">
        <v>1557</v>
      </c>
    </row>
    <row r="258" spans="1:17" x14ac:dyDescent="0.2">
      <c r="A258" s="27" t="s">
        <v>104</v>
      </c>
      <c r="B258" s="27" t="s">
        <v>28</v>
      </c>
      <c r="C258" s="27"/>
      <c r="D258" s="30">
        <v>45924</v>
      </c>
      <c r="E258" s="27" t="s">
        <v>466</v>
      </c>
      <c r="F258" s="27" t="s">
        <v>492</v>
      </c>
      <c r="G258" s="27" t="s">
        <v>29</v>
      </c>
      <c r="H258" s="27" t="s">
        <v>30</v>
      </c>
      <c r="I258" s="27" t="s">
        <v>152</v>
      </c>
      <c r="J258" s="27" t="s">
        <v>153</v>
      </c>
      <c r="K258" s="27" t="s">
        <v>493</v>
      </c>
      <c r="L258" s="28">
        <v>45924</v>
      </c>
      <c r="M258" s="31">
        <v>-500</v>
      </c>
      <c r="N258" s="27" t="s">
        <v>109</v>
      </c>
      <c r="O258" s="27" t="s">
        <v>124</v>
      </c>
      <c r="P258" s="27" t="s">
        <v>117</v>
      </c>
      <c r="Q258" s="27" t="s">
        <v>493</v>
      </c>
    </row>
    <row r="259" spans="1:17" x14ac:dyDescent="0.2">
      <c r="A259" s="27" t="s">
        <v>104</v>
      </c>
      <c r="B259" s="27" t="s">
        <v>6</v>
      </c>
      <c r="C259" s="27"/>
      <c r="D259" s="30">
        <v>45924</v>
      </c>
      <c r="E259" s="27" t="s">
        <v>466</v>
      </c>
      <c r="F259" s="27" t="s">
        <v>494</v>
      </c>
      <c r="G259" s="27" t="s">
        <v>14</v>
      </c>
      <c r="H259" s="27" t="s">
        <v>53</v>
      </c>
      <c r="K259" s="27" t="s">
        <v>495</v>
      </c>
      <c r="L259" s="28">
        <v>45923</v>
      </c>
      <c r="M259" s="31">
        <v>-266.95</v>
      </c>
      <c r="N259" s="27" t="s">
        <v>109</v>
      </c>
      <c r="O259" s="27" t="s">
        <v>124</v>
      </c>
      <c r="Q259" s="27" t="s">
        <v>496</v>
      </c>
    </row>
    <row r="260" spans="1:17" x14ac:dyDescent="0.2">
      <c r="A260" s="27" t="s">
        <v>104</v>
      </c>
      <c r="B260" s="27" t="s">
        <v>6</v>
      </c>
      <c r="C260" s="27"/>
      <c r="D260" s="30">
        <v>45925</v>
      </c>
      <c r="E260" s="27" t="s">
        <v>466</v>
      </c>
      <c r="F260" s="27" t="s">
        <v>486</v>
      </c>
      <c r="G260" s="27" t="s">
        <v>39</v>
      </c>
      <c r="H260" s="27" t="s">
        <v>58</v>
      </c>
      <c r="K260" s="27" t="s">
        <v>487</v>
      </c>
      <c r="L260" s="28">
        <v>45925</v>
      </c>
      <c r="M260" s="31">
        <v>-750.01</v>
      </c>
      <c r="N260" s="27" t="s">
        <v>109</v>
      </c>
      <c r="O260" s="27" t="s">
        <v>244</v>
      </c>
      <c r="Q260" s="27" t="s">
        <v>488</v>
      </c>
    </row>
    <row r="261" spans="1:17" x14ac:dyDescent="0.2">
      <c r="A261" s="27" t="s">
        <v>104</v>
      </c>
      <c r="B261" s="27" t="s">
        <v>1592</v>
      </c>
      <c r="C261" s="27"/>
      <c r="D261" s="30">
        <v>45929</v>
      </c>
      <c r="E261" s="27" t="s">
        <v>466</v>
      </c>
      <c r="F261" s="27" t="s">
        <v>476</v>
      </c>
      <c r="G261" s="27" t="s">
        <v>477</v>
      </c>
      <c r="H261" s="27" t="s">
        <v>478</v>
      </c>
      <c r="K261" s="27" t="s">
        <v>479</v>
      </c>
      <c r="L261" s="28">
        <v>45929</v>
      </c>
      <c r="M261" s="31">
        <v>-600</v>
      </c>
      <c r="N261" s="27" t="s">
        <v>109</v>
      </c>
      <c r="O261" s="27" t="s">
        <v>244</v>
      </c>
      <c r="Q261" s="27" t="s">
        <v>480</v>
      </c>
    </row>
    <row r="262" spans="1:17" x14ac:dyDescent="0.2">
      <c r="A262" s="27" t="s">
        <v>104</v>
      </c>
      <c r="B262" s="27" t="s">
        <v>8</v>
      </c>
      <c r="C262" s="27"/>
      <c r="D262" s="30">
        <v>45929</v>
      </c>
      <c r="E262" s="27" t="s">
        <v>466</v>
      </c>
      <c r="F262" s="27" t="s">
        <v>481</v>
      </c>
      <c r="G262" s="27" t="s">
        <v>18</v>
      </c>
      <c r="H262" s="27" t="s">
        <v>55</v>
      </c>
      <c r="K262" s="27" t="s">
        <v>482</v>
      </c>
      <c r="L262" s="28">
        <v>45929</v>
      </c>
      <c r="M262" s="31">
        <v>-36.880000000000003</v>
      </c>
      <c r="N262" s="27" t="s">
        <v>109</v>
      </c>
      <c r="O262" s="27" t="s">
        <v>199</v>
      </c>
      <c r="Q262" s="27" t="s">
        <v>483</v>
      </c>
    </row>
    <row r="263" spans="1:17" x14ac:dyDescent="0.2">
      <c r="A263" s="27" t="s">
        <v>104</v>
      </c>
      <c r="B263" s="27" t="s">
        <v>52</v>
      </c>
      <c r="C263" s="27"/>
      <c r="D263" s="30">
        <v>45929</v>
      </c>
      <c r="E263" s="27" t="s">
        <v>466</v>
      </c>
      <c r="F263" s="27" t="s">
        <v>484</v>
      </c>
      <c r="H263" s="27" t="s">
        <v>170</v>
      </c>
      <c r="J263" s="27" t="s">
        <v>171</v>
      </c>
      <c r="K263" s="27" t="s">
        <v>485</v>
      </c>
      <c r="L263" s="28">
        <v>45927</v>
      </c>
      <c r="M263" s="31">
        <v>-62.89</v>
      </c>
      <c r="N263" s="27" t="s">
        <v>109</v>
      </c>
      <c r="P263" s="27" t="s">
        <v>117</v>
      </c>
      <c r="Q263" s="27" t="s">
        <v>485</v>
      </c>
    </row>
    <row r="264" spans="1:17" x14ac:dyDescent="0.2">
      <c r="A264" s="27" t="s">
        <v>104</v>
      </c>
      <c r="B264" s="27" t="s">
        <v>6</v>
      </c>
      <c r="C264" s="27"/>
      <c r="D264" s="30">
        <v>45930</v>
      </c>
      <c r="E264" s="27" t="s">
        <v>466</v>
      </c>
      <c r="F264" s="27" t="s">
        <v>471</v>
      </c>
      <c r="H264" s="27" t="s">
        <v>472</v>
      </c>
      <c r="J264" s="27" t="s">
        <v>338</v>
      </c>
      <c r="K264" s="27" t="s">
        <v>473</v>
      </c>
      <c r="L264" s="28">
        <v>45930</v>
      </c>
      <c r="M264" s="31">
        <v>-140</v>
      </c>
      <c r="N264" s="27" t="s">
        <v>109</v>
      </c>
      <c r="P264" s="27" t="s">
        <v>117</v>
      </c>
      <c r="Q264" s="27" t="s">
        <v>473</v>
      </c>
    </row>
    <row r="265" spans="1:17" x14ac:dyDescent="0.2">
      <c r="A265" s="27" t="s">
        <v>104</v>
      </c>
      <c r="B265" s="27" t="s">
        <v>41</v>
      </c>
      <c r="C265" s="27"/>
      <c r="D265" s="30">
        <v>45930</v>
      </c>
      <c r="E265" s="27" t="s">
        <v>466</v>
      </c>
      <c r="F265" s="27" t="s">
        <v>474</v>
      </c>
      <c r="G265" s="27" t="s">
        <v>42</v>
      </c>
      <c r="H265" s="27" t="s">
        <v>43</v>
      </c>
      <c r="K265" s="27" t="s">
        <v>475</v>
      </c>
      <c r="L265" s="28">
        <v>45930</v>
      </c>
      <c r="M265" s="31">
        <v>-12.88</v>
      </c>
      <c r="N265" s="27" t="s">
        <v>109</v>
      </c>
      <c r="O265" s="27" t="s">
        <v>244</v>
      </c>
      <c r="Q265" s="27" t="s">
        <v>429</v>
      </c>
    </row>
    <row r="266" spans="1:17" x14ac:dyDescent="0.2">
      <c r="A266" s="27" t="s">
        <v>104</v>
      </c>
      <c r="B266" s="27" t="s">
        <v>5</v>
      </c>
      <c r="C266" s="29" t="s">
        <v>1593</v>
      </c>
      <c r="D266" s="30">
        <v>45932</v>
      </c>
      <c r="E266" s="27" t="s">
        <v>466</v>
      </c>
      <c r="F266" s="27" t="s">
        <v>470</v>
      </c>
      <c r="G266" s="27" t="s">
        <v>10</v>
      </c>
      <c r="H266" s="27" t="s">
        <v>294</v>
      </c>
      <c r="I266" s="27" t="s">
        <v>295</v>
      </c>
      <c r="J266" s="27" t="s">
        <v>296</v>
      </c>
      <c r="K266" s="27" t="s">
        <v>1555</v>
      </c>
      <c r="L266" s="28">
        <v>45932</v>
      </c>
      <c r="M266" s="31">
        <v>3724.58</v>
      </c>
      <c r="N266" s="27" t="s">
        <v>109</v>
      </c>
      <c r="O266" s="27" t="s">
        <v>124</v>
      </c>
      <c r="P266" s="27" t="s">
        <v>117</v>
      </c>
      <c r="Q266" s="27" t="s">
        <v>1556</v>
      </c>
    </row>
    <row r="267" spans="1:17" x14ac:dyDescent="0.2">
      <c r="A267" s="27" t="s">
        <v>104</v>
      </c>
      <c r="B267" s="27" t="s">
        <v>13</v>
      </c>
      <c r="C267" s="27"/>
      <c r="D267" s="30">
        <v>45933</v>
      </c>
      <c r="E267" s="27" t="s">
        <v>466</v>
      </c>
      <c r="F267" s="27" t="s">
        <v>467</v>
      </c>
      <c r="G267" s="27" t="s">
        <v>14</v>
      </c>
      <c r="H267" s="27" t="s">
        <v>53</v>
      </c>
      <c r="K267" s="27" t="s">
        <v>468</v>
      </c>
      <c r="L267" s="28">
        <v>45933</v>
      </c>
      <c r="M267" s="31">
        <v>-1400</v>
      </c>
      <c r="N267" s="27" t="s">
        <v>109</v>
      </c>
      <c r="O267" s="27" t="s">
        <v>124</v>
      </c>
      <c r="Q267" s="27" t="s">
        <v>469</v>
      </c>
    </row>
    <row r="268" spans="1:17" x14ac:dyDescent="0.2">
      <c r="A268" s="27" t="s">
        <v>104</v>
      </c>
      <c r="B268" s="27" t="s">
        <v>12</v>
      </c>
      <c r="C268" s="27"/>
      <c r="D268" s="30">
        <v>45936</v>
      </c>
      <c r="E268" s="27" t="s">
        <v>279</v>
      </c>
      <c r="F268" s="27" t="s">
        <v>465</v>
      </c>
      <c r="K268" s="27" t="s">
        <v>1554</v>
      </c>
      <c r="L268" s="28">
        <v>45931</v>
      </c>
      <c r="M268" s="31">
        <v>-7.5</v>
      </c>
      <c r="N268" s="27" t="s">
        <v>109</v>
      </c>
      <c r="Q268" s="27" t="s">
        <v>1554</v>
      </c>
    </row>
    <row r="269" spans="1:17" x14ac:dyDescent="0.2">
      <c r="A269" s="27" t="s">
        <v>104</v>
      </c>
      <c r="B269" s="27" t="s">
        <v>6</v>
      </c>
      <c r="C269" s="27"/>
      <c r="D269" s="30">
        <v>45937</v>
      </c>
      <c r="E269" s="27" t="s">
        <v>279</v>
      </c>
      <c r="F269" s="27" t="s">
        <v>462</v>
      </c>
      <c r="G269" s="27" t="s">
        <v>14</v>
      </c>
      <c r="H269" s="27" t="s">
        <v>53</v>
      </c>
      <c r="K269" s="27" t="s">
        <v>463</v>
      </c>
      <c r="L269" s="28">
        <v>45936</v>
      </c>
      <c r="M269" s="31">
        <v>-255.8</v>
      </c>
      <c r="N269" s="27" t="s">
        <v>109</v>
      </c>
      <c r="O269" s="27" t="s">
        <v>124</v>
      </c>
      <c r="Q269" s="27" t="s">
        <v>464</v>
      </c>
    </row>
    <row r="270" spans="1:17" x14ac:dyDescent="0.2">
      <c r="A270" s="27" t="s">
        <v>104</v>
      </c>
      <c r="B270" s="27" t="s">
        <v>5</v>
      </c>
      <c r="C270" s="29" t="s">
        <v>1593</v>
      </c>
      <c r="D270" s="30">
        <v>45937</v>
      </c>
      <c r="E270" s="27" t="s">
        <v>279</v>
      </c>
      <c r="F270" s="27" t="s">
        <v>456</v>
      </c>
      <c r="G270" s="27" t="s">
        <v>457</v>
      </c>
      <c r="H270" s="27" t="s">
        <v>458</v>
      </c>
      <c r="I270" s="27" t="s">
        <v>459</v>
      </c>
      <c r="J270" s="27" t="s">
        <v>242</v>
      </c>
      <c r="K270" s="27" t="s">
        <v>460</v>
      </c>
      <c r="L270" s="28">
        <v>45937</v>
      </c>
      <c r="M270" s="31">
        <v>92</v>
      </c>
      <c r="N270" s="27" t="s">
        <v>109</v>
      </c>
      <c r="O270" s="27" t="s">
        <v>244</v>
      </c>
      <c r="P270" s="27" t="s">
        <v>117</v>
      </c>
      <c r="Q270" s="27" t="s">
        <v>461</v>
      </c>
    </row>
    <row r="271" spans="1:17" x14ac:dyDescent="0.2">
      <c r="A271" s="27" t="s">
        <v>104</v>
      </c>
      <c r="B271" s="27" t="s">
        <v>5</v>
      </c>
      <c r="C271" s="29" t="s">
        <v>1593</v>
      </c>
      <c r="D271" s="30">
        <v>45937</v>
      </c>
      <c r="E271" s="27" t="s">
        <v>279</v>
      </c>
      <c r="F271" s="27" t="s">
        <v>447</v>
      </c>
      <c r="G271" s="27" t="s">
        <v>448</v>
      </c>
      <c r="H271" s="27" t="s">
        <v>449</v>
      </c>
      <c r="I271" s="27" t="s">
        <v>450</v>
      </c>
      <c r="J271" s="27" t="s">
        <v>242</v>
      </c>
      <c r="K271" s="27" t="s">
        <v>451</v>
      </c>
      <c r="L271" s="28">
        <v>45937</v>
      </c>
      <c r="M271" s="31">
        <v>78</v>
      </c>
      <c r="N271" s="27" t="s">
        <v>109</v>
      </c>
      <c r="O271" s="27" t="s">
        <v>244</v>
      </c>
      <c r="P271" s="27" t="s">
        <v>117</v>
      </c>
      <c r="Q271" s="27" t="s">
        <v>452</v>
      </c>
    </row>
    <row r="272" spans="1:17" x14ac:dyDescent="0.2">
      <c r="A272" s="27" t="s">
        <v>104</v>
      </c>
      <c r="B272" s="27" t="s">
        <v>5</v>
      </c>
      <c r="C272" s="29" t="s">
        <v>1593</v>
      </c>
      <c r="D272" s="30">
        <v>45937</v>
      </c>
      <c r="E272" s="27" t="s">
        <v>279</v>
      </c>
      <c r="F272" s="27" t="s">
        <v>453</v>
      </c>
      <c r="G272" s="27" t="s">
        <v>15</v>
      </c>
      <c r="H272" s="27" t="s">
        <v>16</v>
      </c>
      <c r="I272" s="27" t="s">
        <v>196</v>
      </c>
      <c r="J272" s="27" t="s">
        <v>197</v>
      </c>
      <c r="K272" s="27" t="s">
        <v>454</v>
      </c>
      <c r="L272" s="28">
        <v>45937</v>
      </c>
      <c r="M272" s="31">
        <v>55.5</v>
      </c>
      <c r="N272" s="27" t="s">
        <v>109</v>
      </c>
      <c r="O272" s="27" t="s">
        <v>199</v>
      </c>
      <c r="P272" s="27" t="s">
        <v>117</v>
      </c>
      <c r="Q272" s="27" t="s">
        <v>455</v>
      </c>
    </row>
    <row r="273" spans="1:17" x14ac:dyDescent="0.2">
      <c r="A273" s="27" t="s">
        <v>104</v>
      </c>
      <c r="B273" s="27" t="s">
        <v>5</v>
      </c>
      <c r="C273" s="29" t="s">
        <v>1593</v>
      </c>
      <c r="D273" s="30">
        <v>45937</v>
      </c>
      <c r="E273" s="27" t="s">
        <v>279</v>
      </c>
      <c r="F273" s="27" t="s">
        <v>442</v>
      </c>
      <c r="G273" s="27" t="s">
        <v>50</v>
      </c>
      <c r="H273" s="27" t="s">
        <v>51</v>
      </c>
      <c r="I273" s="27" t="s">
        <v>443</v>
      </c>
      <c r="J273" s="27" t="s">
        <v>444</v>
      </c>
      <c r="K273" s="27" t="s">
        <v>445</v>
      </c>
      <c r="L273" s="28">
        <v>45937</v>
      </c>
      <c r="M273" s="31">
        <v>33.299999999999997</v>
      </c>
      <c r="N273" s="27" t="s">
        <v>109</v>
      </c>
      <c r="O273" s="27" t="s">
        <v>199</v>
      </c>
      <c r="P273" s="27" t="s">
        <v>117</v>
      </c>
      <c r="Q273" s="27" t="s">
        <v>446</v>
      </c>
    </row>
    <row r="274" spans="1:17" x14ac:dyDescent="0.2">
      <c r="A274" s="27" t="s">
        <v>104</v>
      </c>
      <c r="B274" s="27" t="s">
        <v>5</v>
      </c>
      <c r="C274" s="27"/>
      <c r="D274" s="30">
        <v>45938</v>
      </c>
      <c r="E274" s="27" t="s">
        <v>279</v>
      </c>
      <c r="F274" s="27" t="s">
        <v>430</v>
      </c>
      <c r="G274" s="27" t="s">
        <v>78</v>
      </c>
      <c r="H274" s="27" t="s">
        <v>79</v>
      </c>
      <c r="I274" s="27" t="s">
        <v>135</v>
      </c>
      <c r="J274" s="27" t="s">
        <v>136</v>
      </c>
      <c r="K274" s="27" t="s">
        <v>431</v>
      </c>
      <c r="L274" s="28">
        <v>45938</v>
      </c>
      <c r="M274" s="31">
        <v>2048.75</v>
      </c>
      <c r="N274" s="27" t="s">
        <v>109</v>
      </c>
      <c r="O274" s="27" t="s">
        <v>124</v>
      </c>
      <c r="P274" s="27" t="s">
        <v>117</v>
      </c>
      <c r="Q274" s="27" t="s">
        <v>432</v>
      </c>
    </row>
    <row r="275" spans="1:17" x14ac:dyDescent="0.2">
      <c r="A275" s="27" t="s">
        <v>104</v>
      </c>
      <c r="B275" s="27" t="s">
        <v>5</v>
      </c>
      <c r="C275" s="29" t="s">
        <v>1593</v>
      </c>
      <c r="D275" s="30">
        <v>45938</v>
      </c>
      <c r="E275" s="27" t="s">
        <v>279</v>
      </c>
      <c r="F275" s="27" t="s">
        <v>439</v>
      </c>
      <c r="G275" s="27" t="s">
        <v>19</v>
      </c>
      <c r="H275" s="27" t="s">
        <v>75</v>
      </c>
      <c r="I275" s="27" t="s">
        <v>221</v>
      </c>
      <c r="J275" s="27" t="s">
        <v>222</v>
      </c>
      <c r="K275" s="27" t="s">
        <v>440</v>
      </c>
      <c r="L275" s="28">
        <v>45938</v>
      </c>
      <c r="M275" s="31">
        <v>493.55</v>
      </c>
      <c r="N275" s="27" t="s">
        <v>109</v>
      </c>
      <c r="O275" s="27" t="s">
        <v>143</v>
      </c>
      <c r="P275" s="27" t="s">
        <v>117</v>
      </c>
      <c r="Q275" s="27" t="s">
        <v>441</v>
      </c>
    </row>
    <row r="276" spans="1:17" x14ac:dyDescent="0.2">
      <c r="A276" s="27" t="s">
        <v>104</v>
      </c>
      <c r="B276" s="27" t="s">
        <v>41</v>
      </c>
      <c r="C276" s="27"/>
      <c r="D276" s="30">
        <v>45938</v>
      </c>
      <c r="E276" s="27" t="s">
        <v>279</v>
      </c>
      <c r="F276" s="27" t="s">
        <v>426</v>
      </c>
      <c r="G276" s="27" t="s">
        <v>42</v>
      </c>
      <c r="H276" s="27" t="s">
        <v>43</v>
      </c>
      <c r="I276" s="27" t="s">
        <v>427</v>
      </c>
      <c r="J276" s="27" t="s">
        <v>153</v>
      </c>
      <c r="K276" s="27" t="s">
        <v>428</v>
      </c>
      <c r="L276" s="28">
        <v>45938</v>
      </c>
      <c r="M276" s="31">
        <v>-12.88</v>
      </c>
      <c r="N276" s="27" t="s">
        <v>109</v>
      </c>
      <c r="O276" s="27" t="s">
        <v>244</v>
      </c>
      <c r="P276" s="27" t="s">
        <v>117</v>
      </c>
      <c r="Q276" s="27" t="s">
        <v>429</v>
      </c>
    </row>
    <row r="277" spans="1:17" x14ac:dyDescent="0.2">
      <c r="A277" s="27" t="s">
        <v>104</v>
      </c>
      <c r="B277" s="27" t="s">
        <v>1592</v>
      </c>
      <c r="C277" s="27"/>
      <c r="D277" s="30">
        <v>45938</v>
      </c>
      <c r="E277" s="27" t="s">
        <v>279</v>
      </c>
      <c r="F277" s="27" t="s">
        <v>433</v>
      </c>
      <c r="G277" s="27" t="s">
        <v>70</v>
      </c>
      <c r="H277" s="27" t="s">
        <v>434</v>
      </c>
      <c r="K277" s="27" t="s">
        <v>435</v>
      </c>
      <c r="L277" s="28">
        <v>45938</v>
      </c>
      <c r="M277" s="31">
        <v>-600</v>
      </c>
      <c r="N277" s="27" t="s">
        <v>109</v>
      </c>
      <c r="O277" s="27" t="s">
        <v>186</v>
      </c>
      <c r="Q277" s="27" t="s">
        <v>436</v>
      </c>
    </row>
    <row r="278" spans="1:17" x14ac:dyDescent="0.2">
      <c r="A278" s="27" t="s">
        <v>104</v>
      </c>
      <c r="B278" s="27" t="s">
        <v>1591</v>
      </c>
      <c r="C278" s="27"/>
      <c r="D278" s="30">
        <v>45938</v>
      </c>
      <c r="E278" s="27" t="s">
        <v>279</v>
      </c>
      <c r="F278" s="27" t="s">
        <v>437</v>
      </c>
      <c r="G278" s="27" t="s">
        <v>9</v>
      </c>
      <c r="K278" s="27" t="s">
        <v>438</v>
      </c>
      <c r="L278" s="28">
        <v>45938</v>
      </c>
      <c r="M278" s="31">
        <v>-469.89</v>
      </c>
      <c r="N278" s="27" t="s">
        <v>109</v>
      </c>
      <c r="O278" s="27" t="s">
        <v>318</v>
      </c>
      <c r="P278" s="27" t="s">
        <v>117</v>
      </c>
      <c r="Q278" s="27" t="s">
        <v>438</v>
      </c>
    </row>
    <row r="279" spans="1:17" x14ac:dyDescent="0.2">
      <c r="A279" s="27" t="s">
        <v>104</v>
      </c>
      <c r="B279" s="27" t="s">
        <v>5</v>
      </c>
      <c r="C279" s="29" t="s">
        <v>1593</v>
      </c>
      <c r="D279" s="30">
        <v>45938</v>
      </c>
      <c r="E279" s="27" t="s">
        <v>279</v>
      </c>
      <c r="F279" s="27" t="s">
        <v>419</v>
      </c>
      <c r="G279" s="27" t="s">
        <v>420</v>
      </c>
      <c r="H279" s="27" t="s">
        <v>421</v>
      </c>
      <c r="I279" s="27" t="s">
        <v>422</v>
      </c>
      <c r="J279" s="27" t="s">
        <v>423</v>
      </c>
      <c r="K279" s="27" t="s">
        <v>424</v>
      </c>
      <c r="L279" s="28">
        <v>45938</v>
      </c>
      <c r="M279" s="31">
        <v>22</v>
      </c>
      <c r="N279" s="27" t="s">
        <v>109</v>
      </c>
      <c r="O279" s="27" t="s">
        <v>124</v>
      </c>
      <c r="P279" s="27" t="s">
        <v>117</v>
      </c>
      <c r="Q279" s="27" t="s">
        <v>425</v>
      </c>
    </row>
    <row r="280" spans="1:17" x14ac:dyDescent="0.2">
      <c r="A280" s="27" t="s">
        <v>104</v>
      </c>
      <c r="B280" s="27" t="s">
        <v>5</v>
      </c>
      <c r="C280" s="29" t="s">
        <v>1593</v>
      </c>
      <c r="D280" s="30">
        <v>45939</v>
      </c>
      <c r="E280" s="27" t="s">
        <v>279</v>
      </c>
      <c r="F280" s="27" t="s">
        <v>415</v>
      </c>
      <c r="G280" s="27" t="s">
        <v>189</v>
      </c>
      <c r="H280" s="27" t="s">
        <v>416</v>
      </c>
      <c r="I280" s="27" t="s">
        <v>191</v>
      </c>
      <c r="J280" s="27" t="s">
        <v>192</v>
      </c>
      <c r="K280" s="27" t="s">
        <v>417</v>
      </c>
      <c r="L280" s="28">
        <v>45939</v>
      </c>
      <c r="M280" s="31">
        <v>83</v>
      </c>
      <c r="N280" s="27" t="s">
        <v>109</v>
      </c>
      <c r="O280" s="27" t="s">
        <v>143</v>
      </c>
      <c r="P280" s="27" t="s">
        <v>117</v>
      </c>
      <c r="Q280" s="27" t="s">
        <v>418</v>
      </c>
    </row>
    <row r="281" spans="1:17" x14ac:dyDescent="0.2">
      <c r="A281" s="27" t="s">
        <v>104</v>
      </c>
      <c r="B281" s="27" t="s">
        <v>5</v>
      </c>
      <c r="C281" s="29" t="s">
        <v>1593</v>
      </c>
      <c r="D281" s="30">
        <v>45939</v>
      </c>
      <c r="E281" s="27" t="s">
        <v>279</v>
      </c>
      <c r="F281" s="27" t="s">
        <v>405</v>
      </c>
      <c r="G281" s="27" t="s">
        <v>406</v>
      </c>
      <c r="H281" s="27" t="s">
        <v>407</v>
      </c>
      <c r="I281" s="27" t="s">
        <v>408</v>
      </c>
      <c r="J281" s="27" t="s">
        <v>242</v>
      </c>
      <c r="K281" s="27" t="s">
        <v>409</v>
      </c>
      <c r="L281" s="28">
        <v>45939</v>
      </c>
      <c r="M281" s="31">
        <v>78</v>
      </c>
      <c r="N281" s="27" t="s">
        <v>109</v>
      </c>
      <c r="O281" s="27" t="s">
        <v>244</v>
      </c>
      <c r="P281" s="27" t="s">
        <v>117</v>
      </c>
      <c r="Q281" s="27" t="s">
        <v>410</v>
      </c>
    </row>
    <row r="282" spans="1:17" x14ac:dyDescent="0.2">
      <c r="A282" s="27" t="s">
        <v>104</v>
      </c>
      <c r="B282" s="27" t="s">
        <v>5</v>
      </c>
      <c r="C282" s="29" t="s">
        <v>1593</v>
      </c>
      <c r="D282" s="30">
        <v>45939</v>
      </c>
      <c r="E282" s="27" t="s">
        <v>279</v>
      </c>
      <c r="F282" s="27" t="s">
        <v>398</v>
      </c>
      <c r="G282" s="27" t="s">
        <v>399</v>
      </c>
      <c r="H282" s="27" t="s">
        <v>400</v>
      </c>
      <c r="I282" s="27" t="s">
        <v>401</v>
      </c>
      <c r="J282" s="27" t="s">
        <v>402</v>
      </c>
      <c r="K282" s="27" t="s">
        <v>403</v>
      </c>
      <c r="L282" s="28">
        <v>45939</v>
      </c>
      <c r="M282" s="31">
        <v>22</v>
      </c>
      <c r="N282" s="27" t="s">
        <v>109</v>
      </c>
      <c r="O282" s="27" t="s">
        <v>186</v>
      </c>
      <c r="P282" s="27" t="s">
        <v>117</v>
      </c>
      <c r="Q282" s="27" t="s">
        <v>404</v>
      </c>
    </row>
    <row r="283" spans="1:17" x14ac:dyDescent="0.2">
      <c r="A283" s="27" t="s">
        <v>104</v>
      </c>
      <c r="B283" s="27" t="s">
        <v>5</v>
      </c>
      <c r="C283" s="29" t="s">
        <v>1593</v>
      </c>
      <c r="D283" s="30">
        <v>45939</v>
      </c>
      <c r="E283" s="27" t="s">
        <v>279</v>
      </c>
      <c r="F283" s="27" t="s">
        <v>411</v>
      </c>
      <c r="G283" s="27" t="s">
        <v>227</v>
      </c>
      <c r="H283" s="27" t="s">
        <v>412</v>
      </c>
      <c r="I283" s="27" t="s">
        <v>229</v>
      </c>
      <c r="J283" s="27" t="s">
        <v>230</v>
      </c>
      <c r="K283" s="27" t="s">
        <v>413</v>
      </c>
      <c r="L283" s="28">
        <v>45939</v>
      </c>
      <c r="M283" s="31">
        <v>22</v>
      </c>
      <c r="N283" s="27" t="s">
        <v>109</v>
      </c>
      <c r="O283" s="27" t="s">
        <v>143</v>
      </c>
      <c r="P283" s="27" t="s">
        <v>117</v>
      </c>
      <c r="Q283" s="27" t="s">
        <v>414</v>
      </c>
    </row>
    <row r="284" spans="1:17" x14ac:dyDescent="0.2">
      <c r="A284" s="27" t="s">
        <v>104</v>
      </c>
      <c r="B284" s="27" t="s">
        <v>5</v>
      </c>
      <c r="C284" s="29" t="s">
        <v>1593</v>
      </c>
      <c r="D284" s="30">
        <v>45940</v>
      </c>
      <c r="E284" s="27" t="s">
        <v>279</v>
      </c>
      <c r="F284" s="27" t="s">
        <v>395</v>
      </c>
      <c r="G284" s="27" t="s">
        <v>44</v>
      </c>
      <c r="H284" s="27" t="s">
        <v>76</v>
      </c>
      <c r="I284" s="27" t="s">
        <v>174</v>
      </c>
      <c r="J284" s="27" t="s">
        <v>175</v>
      </c>
      <c r="K284" s="27" t="s">
        <v>396</v>
      </c>
      <c r="L284" s="28">
        <v>45940</v>
      </c>
      <c r="M284" s="31">
        <v>166.5</v>
      </c>
      <c r="N284" s="27" t="s">
        <v>109</v>
      </c>
      <c r="O284" s="27" t="s">
        <v>143</v>
      </c>
      <c r="P284" s="27" t="s">
        <v>117</v>
      </c>
      <c r="Q284" s="27" t="s">
        <v>397</v>
      </c>
    </row>
    <row r="285" spans="1:17" x14ac:dyDescent="0.2">
      <c r="A285" s="27" t="s">
        <v>104</v>
      </c>
      <c r="B285" s="27" t="s">
        <v>5</v>
      </c>
      <c r="C285" s="29" t="s">
        <v>1593</v>
      </c>
      <c r="D285" s="30">
        <v>45943</v>
      </c>
      <c r="E285" s="27" t="s">
        <v>279</v>
      </c>
      <c r="F285" s="27" t="s">
        <v>385</v>
      </c>
      <c r="G285" s="27" t="s">
        <v>181</v>
      </c>
      <c r="H285" s="27" t="s">
        <v>182</v>
      </c>
      <c r="I285" s="27" t="s">
        <v>183</v>
      </c>
      <c r="J285" s="27" t="s">
        <v>184</v>
      </c>
      <c r="K285" s="27" t="s">
        <v>386</v>
      </c>
      <c r="L285" s="28">
        <v>45943</v>
      </c>
      <c r="M285" s="31">
        <v>83</v>
      </c>
      <c r="N285" s="27" t="s">
        <v>109</v>
      </c>
      <c r="O285" s="27" t="s">
        <v>186</v>
      </c>
      <c r="P285" s="27" t="s">
        <v>117</v>
      </c>
      <c r="Q285" s="27" t="s">
        <v>387</v>
      </c>
    </row>
    <row r="286" spans="1:17" x14ac:dyDescent="0.2">
      <c r="A286" s="27" t="s">
        <v>104</v>
      </c>
      <c r="B286" s="27" t="s">
        <v>5</v>
      </c>
      <c r="C286" s="29" t="s">
        <v>1593</v>
      </c>
      <c r="D286" s="30">
        <v>45943</v>
      </c>
      <c r="E286" s="27" t="s">
        <v>279</v>
      </c>
      <c r="F286" s="27" t="s">
        <v>388</v>
      </c>
      <c r="G286" s="27" t="s">
        <v>389</v>
      </c>
      <c r="H286" s="27" t="s">
        <v>390</v>
      </c>
      <c r="I286" s="27" t="s">
        <v>391</v>
      </c>
      <c r="J286" s="27" t="s">
        <v>392</v>
      </c>
      <c r="K286" s="27" t="s">
        <v>393</v>
      </c>
      <c r="L286" s="28">
        <v>45941</v>
      </c>
      <c r="M286" s="31">
        <v>40.79</v>
      </c>
      <c r="N286" s="27" t="s">
        <v>109</v>
      </c>
      <c r="O286" s="27" t="s">
        <v>199</v>
      </c>
      <c r="P286" s="27" t="s">
        <v>117</v>
      </c>
      <c r="Q286" s="27" t="s">
        <v>394</v>
      </c>
    </row>
    <row r="287" spans="1:17" x14ac:dyDescent="0.2">
      <c r="A287" s="27" t="s">
        <v>104</v>
      </c>
      <c r="B287" s="27" t="s">
        <v>52</v>
      </c>
      <c r="C287" s="27"/>
      <c r="D287" s="30">
        <v>45944</v>
      </c>
      <c r="E287" s="27" t="s">
        <v>279</v>
      </c>
      <c r="F287" s="27" t="s">
        <v>370</v>
      </c>
      <c r="G287" s="27" t="s">
        <v>61</v>
      </c>
      <c r="H287" s="27" t="s">
        <v>371</v>
      </c>
      <c r="K287" s="27" t="s">
        <v>372</v>
      </c>
      <c r="L287" s="28">
        <v>45944</v>
      </c>
      <c r="M287" s="31">
        <v>-54.49</v>
      </c>
      <c r="N287" s="27" t="s">
        <v>109</v>
      </c>
      <c r="O287" s="27" t="s">
        <v>124</v>
      </c>
      <c r="Q287" s="27" t="s">
        <v>373</v>
      </c>
    </row>
    <row r="288" spans="1:17" x14ac:dyDescent="0.2">
      <c r="A288" s="27" t="s">
        <v>104</v>
      </c>
      <c r="B288" s="27" t="s">
        <v>22</v>
      </c>
      <c r="C288" s="27"/>
      <c r="D288" s="30">
        <v>45944</v>
      </c>
      <c r="E288" s="27" t="s">
        <v>279</v>
      </c>
      <c r="F288" s="27" t="s">
        <v>374</v>
      </c>
      <c r="G288" s="27" t="s">
        <v>26</v>
      </c>
      <c r="H288" s="27" t="s">
        <v>27</v>
      </c>
      <c r="K288" s="27" t="s">
        <v>375</v>
      </c>
      <c r="L288" s="28">
        <v>45944</v>
      </c>
      <c r="M288" s="31">
        <v>-1755.17</v>
      </c>
      <c r="N288" s="27" t="s">
        <v>109</v>
      </c>
      <c r="O288" s="27" t="s">
        <v>124</v>
      </c>
      <c r="Q288" s="27" t="s">
        <v>376</v>
      </c>
    </row>
    <row r="289" spans="1:17" x14ac:dyDescent="0.2">
      <c r="A289" s="27" t="s">
        <v>104</v>
      </c>
      <c r="B289" s="27" t="s">
        <v>52</v>
      </c>
      <c r="C289" s="27"/>
      <c r="D289" s="30">
        <v>45944</v>
      </c>
      <c r="E289" s="27" t="s">
        <v>279</v>
      </c>
      <c r="F289" s="27" t="s">
        <v>377</v>
      </c>
      <c r="H289" s="27" t="s">
        <v>170</v>
      </c>
      <c r="J289" s="27" t="s">
        <v>171</v>
      </c>
      <c r="K289" s="27" t="s">
        <v>378</v>
      </c>
      <c r="L289" s="28">
        <v>45944</v>
      </c>
      <c r="M289" s="31">
        <v>-76.260000000000005</v>
      </c>
      <c r="N289" s="27" t="s">
        <v>109</v>
      </c>
      <c r="P289" s="27" t="s">
        <v>117</v>
      </c>
      <c r="Q289" s="27" t="s">
        <v>378</v>
      </c>
    </row>
    <row r="290" spans="1:17" x14ac:dyDescent="0.2">
      <c r="A290" s="27" t="s">
        <v>104</v>
      </c>
      <c r="B290" s="27" t="s">
        <v>5</v>
      </c>
      <c r="C290" s="29" t="s">
        <v>1593</v>
      </c>
      <c r="D290" s="30">
        <v>45944</v>
      </c>
      <c r="E290" s="27" t="s">
        <v>279</v>
      </c>
      <c r="F290" s="27" t="s">
        <v>379</v>
      </c>
      <c r="G290" s="27" t="s">
        <v>380</v>
      </c>
      <c r="H290" s="27" t="s">
        <v>381</v>
      </c>
      <c r="I290" s="27" t="s">
        <v>382</v>
      </c>
      <c r="J290" s="27" t="s">
        <v>276</v>
      </c>
      <c r="K290" s="27" t="s">
        <v>383</v>
      </c>
      <c r="L290" s="28">
        <v>45944</v>
      </c>
      <c r="M290" s="31">
        <v>21</v>
      </c>
      <c r="N290" s="27" t="s">
        <v>109</v>
      </c>
      <c r="O290" s="27" t="s">
        <v>244</v>
      </c>
      <c r="P290" s="27" t="s">
        <v>117</v>
      </c>
      <c r="Q290" s="27" t="s">
        <v>384</v>
      </c>
    </row>
    <row r="291" spans="1:17" x14ac:dyDescent="0.2">
      <c r="A291" s="27" t="s">
        <v>104</v>
      </c>
      <c r="B291" s="27" t="s">
        <v>32</v>
      </c>
      <c r="C291" s="27"/>
      <c r="D291" s="30">
        <v>45950</v>
      </c>
      <c r="E291" s="27" t="s">
        <v>279</v>
      </c>
      <c r="F291" s="27" t="s">
        <v>362</v>
      </c>
      <c r="G291" s="27" t="s">
        <v>14</v>
      </c>
      <c r="H291" s="27" t="s">
        <v>363</v>
      </c>
      <c r="I291" s="27" t="s">
        <v>364</v>
      </c>
      <c r="J291" s="27" t="s">
        <v>365</v>
      </c>
      <c r="K291" s="27" t="s">
        <v>366</v>
      </c>
      <c r="L291" s="28">
        <v>45948</v>
      </c>
      <c r="M291" s="31">
        <v>238.2</v>
      </c>
      <c r="N291" s="27" t="s">
        <v>109</v>
      </c>
      <c r="O291" s="27" t="s">
        <v>124</v>
      </c>
      <c r="P291" s="27" t="s">
        <v>117</v>
      </c>
      <c r="Q291" s="27" t="s">
        <v>367</v>
      </c>
    </row>
    <row r="292" spans="1:17" x14ac:dyDescent="0.2">
      <c r="A292" s="27" t="s">
        <v>104</v>
      </c>
      <c r="B292" s="27" t="s">
        <v>13</v>
      </c>
      <c r="C292" s="27"/>
      <c r="D292" s="30">
        <v>45950</v>
      </c>
      <c r="E292" s="27" t="s">
        <v>279</v>
      </c>
      <c r="F292" s="27" t="s">
        <v>368</v>
      </c>
      <c r="G292" s="27" t="s">
        <v>14</v>
      </c>
      <c r="H292" s="27" t="s">
        <v>53</v>
      </c>
      <c r="K292" s="27" t="s">
        <v>369</v>
      </c>
      <c r="L292" s="28">
        <v>45948</v>
      </c>
      <c r="M292" s="31">
        <v>-1400</v>
      </c>
      <c r="N292" s="27" t="s">
        <v>109</v>
      </c>
      <c r="O292" s="27" t="s">
        <v>124</v>
      </c>
      <c r="Q292" s="27" t="s">
        <v>321</v>
      </c>
    </row>
    <row r="293" spans="1:17" x14ac:dyDescent="0.2">
      <c r="A293" s="27" t="s">
        <v>104</v>
      </c>
      <c r="B293" s="27" t="s">
        <v>5</v>
      </c>
      <c r="C293" s="29" t="s">
        <v>1593</v>
      </c>
      <c r="D293" s="30">
        <v>45950</v>
      </c>
      <c r="E293" s="27" t="s">
        <v>279</v>
      </c>
      <c r="F293" s="27" t="s">
        <v>355</v>
      </c>
      <c r="G293" s="27" t="s">
        <v>356</v>
      </c>
      <c r="H293" s="27" t="s">
        <v>357</v>
      </c>
      <c r="I293" s="27" t="s">
        <v>358</v>
      </c>
      <c r="J293" s="27" t="s">
        <v>359</v>
      </c>
      <c r="K293" s="27" t="s">
        <v>360</v>
      </c>
      <c r="L293" s="28">
        <v>45950</v>
      </c>
      <c r="M293" s="31">
        <v>7</v>
      </c>
      <c r="N293" s="27" t="s">
        <v>109</v>
      </c>
      <c r="O293" s="27" t="s">
        <v>143</v>
      </c>
      <c r="P293" s="27" t="s">
        <v>117</v>
      </c>
      <c r="Q293" s="27" t="s">
        <v>361</v>
      </c>
    </row>
    <row r="294" spans="1:17" x14ac:dyDescent="0.2">
      <c r="A294" s="27" t="s">
        <v>104</v>
      </c>
      <c r="B294" s="27" t="s">
        <v>28</v>
      </c>
      <c r="C294" s="27"/>
      <c r="D294" s="30">
        <v>45954</v>
      </c>
      <c r="E294" s="27" t="s">
        <v>279</v>
      </c>
      <c r="F294" s="27" t="s">
        <v>353</v>
      </c>
      <c r="G294" s="27" t="s">
        <v>29</v>
      </c>
      <c r="H294" s="27" t="s">
        <v>30</v>
      </c>
      <c r="I294" s="27" t="s">
        <v>152</v>
      </c>
      <c r="J294" s="27" t="s">
        <v>153</v>
      </c>
      <c r="K294" s="27" t="s">
        <v>354</v>
      </c>
      <c r="L294" s="28">
        <v>45954</v>
      </c>
      <c r="M294" s="31">
        <v>-500</v>
      </c>
      <c r="N294" s="27" t="s">
        <v>109</v>
      </c>
      <c r="O294" s="27" t="s">
        <v>124</v>
      </c>
      <c r="P294" s="27" t="s">
        <v>117</v>
      </c>
      <c r="Q294" s="27" t="s">
        <v>354</v>
      </c>
    </row>
    <row r="295" spans="1:17" x14ac:dyDescent="0.2">
      <c r="A295" s="27" t="s">
        <v>104</v>
      </c>
      <c r="B295" s="27" t="s">
        <v>13</v>
      </c>
      <c r="C295" s="27"/>
      <c r="D295" s="30">
        <v>45957</v>
      </c>
      <c r="E295" s="27" t="s">
        <v>279</v>
      </c>
      <c r="F295" s="27" t="s">
        <v>351</v>
      </c>
      <c r="G295" s="27" t="s">
        <v>14</v>
      </c>
      <c r="H295" s="27" t="s">
        <v>53</v>
      </c>
      <c r="K295" s="27" t="s">
        <v>352</v>
      </c>
      <c r="L295" s="28">
        <v>45957</v>
      </c>
      <c r="M295" s="31">
        <v>-1000</v>
      </c>
      <c r="N295" s="27" t="s">
        <v>109</v>
      </c>
      <c r="O295" s="27" t="s">
        <v>124</v>
      </c>
      <c r="Q295" s="27" t="s">
        <v>321</v>
      </c>
    </row>
    <row r="296" spans="1:17" x14ac:dyDescent="0.2">
      <c r="A296" s="27" t="s">
        <v>104</v>
      </c>
      <c r="B296" s="27" t="s">
        <v>5</v>
      </c>
      <c r="C296" s="29" t="s">
        <v>1593</v>
      </c>
      <c r="D296" s="30">
        <v>45959</v>
      </c>
      <c r="E296" s="27" t="s">
        <v>279</v>
      </c>
      <c r="F296" s="27" t="s">
        <v>344</v>
      </c>
      <c r="G296" s="27" t="s">
        <v>345</v>
      </c>
      <c r="H296" s="27" t="s">
        <v>346</v>
      </c>
      <c r="I296" s="27" t="s">
        <v>347</v>
      </c>
      <c r="J296" s="27" t="s">
        <v>348</v>
      </c>
      <c r="K296" s="27" t="s">
        <v>349</v>
      </c>
      <c r="L296" s="28">
        <v>45959</v>
      </c>
      <c r="M296" s="31">
        <v>7</v>
      </c>
      <c r="N296" s="27" t="s">
        <v>109</v>
      </c>
      <c r="O296" s="27" t="s">
        <v>186</v>
      </c>
      <c r="P296" s="27" t="s">
        <v>117</v>
      </c>
      <c r="Q296" s="27" t="s">
        <v>350</v>
      </c>
    </row>
    <row r="297" spans="1:17" x14ac:dyDescent="0.2">
      <c r="A297" s="27" t="s">
        <v>104</v>
      </c>
      <c r="B297" s="27" t="s">
        <v>5</v>
      </c>
      <c r="C297" s="29" t="s">
        <v>1593</v>
      </c>
      <c r="D297" s="30">
        <v>45960</v>
      </c>
      <c r="E297" s="27" t="s">
        <v>279</v>
      </c>
      <c r="F297" s="27" t="s">
        <v>334</v>
      </c>
      <c r="G297" s="27" t="s">
        <v>335</v>
      </c>
      <c r="H297" s="27" t="s">
        <v>336</v>
      </c>
      <c r="I297" s="27" t="s">
        <v>337</v>
      </c>
      <c r="J297" s="27" t="s">
        <v>338</v>
      </c>
      <c r="K297" s="27" t="s">
        <v>339</v>
      </c>
      <c r="L297" s="28">
        <v>45959</v>
      </c>
      <c r="M297" s="31">
        <v>36</v>
      </c>
      <c r="N297" s="27" t="s">
        <v>109</v>
      </c>
      <c r="O297" s="27" t="s">
        <v>124</v>
      </c>
      <c r="P297" s="27" t="s">
        <v>117</v>
      </c>
      <c r="Q297" s="27" t="s">
        <v>340</v>
      </c>
    </row>
    <row r="298" spans="1:17" x14ac:dyDescent="0.2">
      <c r="A298" s="27" t="s">
        <v>104</v>
      </c>
      <c r="B298" s="27" t="s">
        <v>5</v>
      </c>
      <c r="C298" s="29" t="s">
        <v>1593</v>
      </c>
      <c r="D298" s="30">
        <v>45960</v>
      </c>
      <c r="E298" s="27" t="s">
        <v>279</v>
      </c>
      <c r="F298" s="27" t="s">
        <v>341</v>
      </c>
      <c r="G298" s="27" t="s">
        <v>335</v>
      </c>
      <c r="H298" s="27" t="s">
        <v>336</v>
      </c>
      <c r="I298" s="27" t="s">
        <v>337</v>
      </c>
      <c r="J298" s="27" t="s">
        <v>338</v>
      </c>
      <c r="K298" s="27" t="s">
        <v>342</v>
      </c>
      <c r="L298" s="28">
        <v>45959</v>
      </c>
      <c r="M298" s="31">
        <v>27</v>
      </c>
      <c r="N298" s="27" t="s">
        <v>109</v>
      </c>
      <c r="O298" s="27" t="s">
        <v>124</v>
      </c>
      <c r="P298" s="27" t="s">
        <v>117</v>
      </c>
      <c r="Q298" s="27" t="s">
        <v>343</v>
      </c>
    </row>
    <row r="299" spans="1:17" x14ac:dyDescent="0.2">
      <c r="A299" s="27" t="s">
        <v>104</v>
      </c>
      <c r="B299" s="27" t="s">
        <v>5</v>
      </c>
      <c r="C299" s="29" t="s">
        <v>1593</v>
      </c>
      <c r="D299" s="30">
        <v>45960</v>
      </c>
      <c r="E299" s="27" t="s">
        <v>279</v>
      </c>
      <c r="F299" s="27" t="s">
        <v>328</v>
      </c>
      <c r="G299" s="27" t="s">
        <v>329</v>
      </c>
      <c r="H299" s="27" t="s">
        <v>330</v>
      </c>
      <c r="I299" s="27" t="s">
        <v>331</v>
      </c>
      <c r="J299" s="27" t="s">
        <v>276</v>
      </c>
      <c r="K299" s="27" t="s">
        <v>332</v>
      </c>
      <c r="L299" s="28">
        <v>45960</v>
      </c>
      <c r="M299" s="31">
        <v>17.5</v>
      </c>
      <c r="N299" s="27" t="s">
        <v>109</v>
      </c>
      <c r="O299" s="27" t="s">
        <v>244</v>
      </c>
      <c r="P299" s="27" t="s">
        <v>117</v>
      </c>
      <c r="Q299" s="27" t="s">
        <v>333</v>
      </c>
    </row>
    <row r="300" spans="1:17" x14ac:dyDescent="0.2">
      <c r="A300" s="27" t="s">
        <v>104</v>
      </c>
      <c r="B300" s="27" t="s">
        <v>5</v>
      </c>
      <c r="C300" s="29" t="s">
        <v>1593</v>
      </c>
      <c r="D300" s="30">
        <v>45960</v>
      </c>
      <c r="E300" s="27" t="s">
        <v>279</v>
      </c>
      <c r="F300" s="27" t="s">
        <v>322</v>
      </c>
      <c r="G300" s="27" t="s">
        <v>323</v>
      </c>
      <c r="H300" s="27" t="s">
        <v>324</v>
      </c>
      <c r="I300" s="27" t="s">
        <v>325</v>
      </c>
      <c r="J300" s="27" t="s">
        <v>242</v>
      </c>
      <c r="K300" s="27" t="s">
        <v>326</v>
      </c>
      <c r="L300" s="28">
        <v>45960</v>
      </c>
      <c r="M300" s="31">
        <v>14</v>
      </c>
      <c r="N300" s="27" t="s">
        <v>109</v>
      </c>
      <c r="O300" s="27" t="s">
        <v>244</v>
      </c>
      <c r="P300" s="27" t="s">
        <v>117</v>
      </c>
      <c r="Q300" s="27" t="s">
        <v>327</v>
      </c>
    </row>
    <row r="301" spans="1:17" x14ac:dyDescent="0.2">
      <c r="A301" s="27" t="s">
        <v>104</v>
      </c>
      <c r="B301" s="27" t="s">
        <v>13</v>
      </c>
      <c r="C301" s="27"/>
      <c r="D301" s="30">
        <v>45961</v>
      </c>
      <c r="E301" s="27" t="s">
        <v>279</v>
      </c>
      <c r="F301" s="27" t="s">
        <v>319</v>
      </c>
      <c r="G301" s="27" t="s">
        <v>14</v>
      </c>
      <c r="H301" s="27" t="s">
        <v>53</v>
      </c>
      <c r="K301" s="27" t="s">
        <v>320</v>
      </c>
      <c r="L301" s="28">
        <v>45961</v>
      </c>
      <c r="M301" s="31">
        <v>-1000</v>
      </c>
      <c r="N301" s="27" t="s">
        <v>109</v>
      </c>
      <c r="O301" s="27" t="s">
        <v>124</v>
      </c>
      <c r="Q301" s="27" t="s">
        <v>321</v>
      </c>
    </row>
    <row r="302" spans="1:17" x14ac:dyDescent="0.2">
      <c r="A302" s="27" t="s">
        <v>104</v>
      </c>
      <c r="B302" s="27" t="s">
        <v>5</v>
      </c>
      <c r="C302" s="29" t="s">
        <v>1593</v>
      </c>
      <c r="D302" s="30">
        <v>45964</v>
      </c>
      <c r="E302" s="27" t="s">
        <v>279</v>
      </c>
      <c r="F302" s="27" t="s">
        <v>293</v>
      </c>
      <c r="G302" s="27" t="s">
        <v>10</v>
      </c>
      <c r="H302" s="27" t="s">
        <v>294</v>
      </c>
      <c r="I302" s="27" t="s">
        <v>295</v>
      </c>
      <c r="J302" s="27" t="s">
        <v>296</v>
      </c>
      <c r="K302" s="27" t="s">
        <v>1551</v>
      </c>
      <c r="L302" s="28">
        <v>45964</v>
      </c>
      <c r="M302" s="31">
        <v>2521.16</v>
      </c>
      <c r="N302" s="27" t="s">
        <v>109</v>
      </c>
      <c r="O302" s="27" t="s">
        <v>124</v>
      </c>
      <c r="P302" s="27" t="s">
        <v>117</v>
      </c>
      <c r="Q302" s="27" t="s">
        <v>1552</v>
      </c>
    </row>
    <row r="303" spans="1:17" x14ac:dyDescent="0.2">
      <c r="A303" s="27" t="s">
        <v>104</v>
      </c>
      <c r="B303" s="27" t="s">
        <v>1591</v>
      </c>
      <c r="C303" s="27"/>
      <c r="D303" s="30">
        <v>45964</v>
      </c>
      <c r="E303" s="27" t="s">
        <v>279</v>
      </c>
      <c r="F303" s="27" t="s">
        <v>316</v>
      </c>
      <c r="G303" s="27" t="s">
        <v>9</v>
      </c>
      <c r="K303" s="27" t="s">
        <v>317</v>
      </c>
      <c r="L303" s="28">
        <v>45964</v>
      </c>
      <c r="M303" s="31">
        <v>-63</v>
      </c>
      <c r="N303" s="27" t="s">
        <v>109</v>
      </c>
      <c r="O303" s="27" t="s">
        <v>318</v>
      </c>
      <c r="P303" s="27" t="s">
        <v>117</v>
      </c>
      <c r="Q303" s="27" t="s">
        <v>317</v>
      </c>
    </row>
    <row r="304" spans="1:17" x14ac:dyDescent="0.2">
      <c r="A304" s="27" t="s">
        <v>104</v>
      </c>
      <c r="B304" s="27" t="s">
        <v>5</v>
      </c>
      <c r="C304" s="29" t="s">
        <v>1593</v>
      </c>
      <c r="D304" s="30">
        <v>45964</v>
      </c>
      <c r="E304" s="27" t="s">
        <v>279</v>
      </c>
      <c r="F304" s="27" t="s">
        <v>309</v>
      </c>
      <c r="G304" s="27" t="s">
        <v>310</v>
      </c>
      <c r="H304" s="27" t="s">
        <v>311</v>
      </c>
      <c r="I304" s="27" t="s">
        <v>312</v>
      </c>
      <c r="J304" s="27" t="s">
        <v>313</v>
      </c>
      <c r="K304" s="27" t="s">
        <v>314</v>
      </c>
      <c r="L304" s="28">
        <v>45964</v>
      </c>
      <c r="M304" s="31">
        <v>59</v>
      </c>
      <c r="N304" s="27" t="s">
        <v>109</v>
      </c>
      <c r="O304" s="27" t="s">
        <v>244</v>
      </c>
      <c r="P304" s="27" t="s">
        <v>117</v>
      </c>
      <c r="Q304" s="27" t="s">
        <v>315</v>
      </c>
    </row>
    <row r="305" spans="1:17" x14ac:dyDescent="0.2">
      <c r="A305" s="27" t="s">
        <v>104</v>
      </c>
      <c r="B305" s="27" t="s">
        <v>5</v>
      </c>
      <c r="C305" s="29"/>
      <c r="D305" s="30">
        <v>45964</v>
      </c>
      <c r="E305" s="27" t="s">
        <v>279</v>
      </c>
      <c r="F305" s="27" t="s">
        <v>286</v>
      </c>
      <c r="G305" s="27" t="s">
        <v>287</v>
      </c>
      <c r="H305" s="27" t="s">
        <v>288</v>
      </c>
      <c r="I305" s="27" t="s">
        <v>289</v>
      </c>
      <c r="J305" s="27" t="s">
        <v>290</v>
      </c>
      <c r="K305" s="27" t="s">
        <v>291</v>
      </c>
      <c r="L305" s="28">
        <v>45964</v>
      </c>
      <c r="M305" s="31">
        <v>40</v>
      </c>
      <c r="N305" s="27" t="s">
        <v>109</v>
      </c>
      <c r="O305" s="27" t="s">
        <v>244</v>
      </c>
      <c r="P305" s="27" t="s">
        <v>117</v>
      </c>
      <c r="Q305" s="27" t="s">
        <v>292</v>
      </c>
    </row>
    <row r="306" spans="1:17" x14ac:dyDescent="0.2">
      <c r="A306" s="27" t="s">
        <v>104</v>
      </c>
      <c r="B306" s="27" t="s">
        <v>5</v>
      </c>
      <c r="C306" s="29" t="s">
        <v>1593</v>
      </c>
      <c r="D306" s="30">
        <v>45964</v>
      </c>
      <c r="E306" s="27" t="s">
        <v>279</v>
      </c>
      <c r="F306" s="27" t="s">
        <v>303</v>
      </c>
      <c r="G306" s="27" t="s">
        <v>304</v>
      </c>
      <c r="H306" s="27" t="s">
        <v>305</v>
      </c>
      <c r="I306" s="27" t="s">
        <v>1553</v>
      </c>
      <c r="J306" s="27" t="s">
        <v>306</v>
      </c>
      <c r="K306" s="27" t="s">
        <v>307</v>
      </c>
      <c r="L306" s="28">
        <v>45964</v>
      </c>
      <c r="M306" s="31">
        <v>9</v>
      </c>
      <c r="N306" s="27" t="s">
        <v>109</v>
      </c>
      <c r="O306" s="27" t="s">
        <v>218</v>
      </c>
      <c r="P306" s="27" t="s">
        <v>117</v>
      </c>
      <c r="Q306" s="27" t="s">
        <v>308</v>
      </c>
    </row>
    <row r="307" spans="1:17" x14ac:dyDescent="0.2">
      <c r="A307" s="27" t="s">
        <v>104</v>
      </c>
      <c r="B307" s="27" t="s">
        <v>5</v>
      </c>
      <c r="C307" s="29" t="s">
        <v>1593</v>
      </c>
      <c r="D307" s="30">
        <v>45964</v>
      </c>
      <c r="E307" s="27" t="s">
        <v>279</v>
      </c>
      <c r="F307" s="27" t="s">
        <v>280</v>
      </c>
      <c r="G307" s="27" t="s">
        <v>281</v>
      </c>
      <c r="H307" s="27" t="s">
        <v>282</v>
      </c>
      <c r="I307" s="27" t="s">
        <v>283</v>
      </c>
      <c r="J307" s="27" t="s">
        <v>242</v>
      </c>
      <c r="K307" s="27" t="s">
        <v>284</v>
      </c>
      <c r="L307" s="28">
        <v>45964</v>
      </c>
      <c r="M307" s="31">
        <v>7</v>
      </c>
      <c r="N307" s="27" t="s">
        <v>109</v>
      </c>
      <c r="O307" s="27" t="s">
        <v>244</v>
      </c>
      <c r="P307" s="27" t="s">
        <v>117</v>
      </c>
      <c r="Q307" s="27" t="s">
        <v>285</v>
      </c>
    </row>
    <row r="308" spans="1:17" x14ac:dyDescent="0.2">
      <c r="A308" s="27" t="s">
        <v>104</v>
      </c>
      <c r="B308" s="27" t="s">
        <v>5</v>
      </c>
      <c r="C308" s="29" t="s">
        <v>1593</v>
      </c>
      <c r="D308" s="30">
        <v>45964</v>
      </c>
      <c r="E308" s="27" t="s">
        <v>279</v>
      </c>
      <c r="F308" s="27" t="s">
        <v>297</v>
      </c>
      <c r="G308" s="27" t="s">
        <v>298</v>
      </c>
      <c r="H308" s="27" t="s">
        <v>299</v>
      </c>
      <c r="I308" s="27" t="s">
        <v>300</v>
      </c>
      <c r="J308" s="27" t="s">
        <v>242</v>
      </c>
      <c r="K308" s="27" t="s">
        <v>301</v>
      </c>
      <c r="L308" s="28">
        <v>45964</v>
      </c>
      <c r="M308" s="31">
        <v>7</v>
      </c>
      <c r="N308" s="27" t="s">
        <v>109</v>
      </c>
      <c r="O308" s="27" t="s">
        <v>244</v>
      </c>
      <c r="P308" s="27" t="s">
        <v>117</v>
      </c>
      <c r="Q308" s="27" t="s">
        <v>302</v>
      </c>
    </row>
    <row r="309" spans="1:17" x14ac:dyDescent="0.2">
      <c r="A309" s="27" t="s">
        <v>104</v>
      </c>
      <c r="B309" s="27" t="s">
        <v>5</v>
      </c>
      <c r="C309" s="29" t="s">
        <v>1593</v>
      </c>
      <c r="D309" s="30">
        <v>45965</v>
      </c>
      <c r="E309" s="27" t="s">
        <v>105</v>
      </c>
      <c r="F309" s="27" t="s">
        <v>233</v>
      </c>
      <c r="G309" s="27" t="s">
        <v>35</v>
      </c>
      <c r="H309" s="27" t="s">
        <v>36</v>
      </c>
      <c r="I309" s="27" t="s">
        <v>234</v>
      </c>
      <c r="J309" s="27" t="s">
        <v>235</v>
      </c>
      <c r="K309" s="27" t="s">
        <v>236</v>
      </c>
      <c r="L309" s="28">
        <v>45965</v>
      </c>
      <c r="M309" s="31">
        <v>151.79</v>
      </c>
      <c r="N309" s="27" t="s">
        <v>109</v>
      </c>
      <c r="O309" s="27" t="s">
        <v>199</v>
      </c>
      <c r="P309" s="27" t="s">
        <v>117</v>
      </c>
      <c r="Q309" s="27" t="s">
        <v>237</v>
      </c>
    </row>
    <row r="310" spans="1:17" x14ac:dyDescent="0.2">
      <c r="A310" s="27" t="s">
        <v>104</v>
      </c>
      <c r="B310" s="27" t="s">
        <v>5</v>
      </c>
      <c r="C310" s="29" t="s">
        <v>1593</v>
      </c>
      <c r="D310" s="30">
        <v>45965</v>
      </c>
      <c r="E310" s="27" t="s">
        <v>105</v>
      </c>
      <c r="F310" s="27" t="s">
        <v>272</v>
      </c>
      <c r="G310" s="27" t="s">
        <v>273</v>
      </c>
      <c r="H310" s="27" t="s">
        <v>274</v>
      </c>
      <c r="I310" s="27" t="s">
        <v>275</v>
      </c>
      <c r="J310" s="27" t="s">
        <v>276</v>
      </c>
      <c r="K310" s="27" t="s">
        <v>277</v>
      </c>
      <c r="L310" s="28">
        <v>45964</v>
      </c>
      <c r="M310" s="31">
        <v>86</v>
      </c>
      <c r="N310" s="27" t="s">
        <v>109</v>
      </c>
      <c r="O310" s="27" t="s">
        <v>244</v>
      </c>
      <c r="P310" s="27" t="s">
        <v>117</v>
      </c>
      <c r="Q310" s="27" t="s">
        <v>278</v>
      </c>
    </row>
    <row r="311" spans="1:17" x14ac:dyDescent="0.2">
      <c r="A311" s="27" t="s">
        <v>104</v>
      </c>
      <c r="B311" s="27" t="s">
        <v>5</v>
      </c>
      <c r="C311" s="29" t="s">
        <v>1593</v>
      </c>
      <c r="D311" s="30">
        <v>45965</v>
      </c>
      <c r="E311" s="27" t="s">
        <v>105</v>
      </c>
      <c r="F311" s="27" t="s">
        <v>238</v>
      </c>
      <c r="G311" s="27" t="s">
        <v>239</v>
      </c>
      <c r="H311" s="27" t="s">
        <v>240</v>
      </c>
      <c r="I311" s="27" t="s">
        <v>241</v>
      </c>
      <c r="J311" s="27" t="s">
        <v>242</v>
      </c>
      <c r="K311" s="27" t="s">
        <v>243</v>
      </c>
      <c r="L311" s="28">
        <v>45965</v>
      </c>
      <c r="M311" s="31">
        <v>57</v>
      </c>
      <c r="N311" s="27" t="s">
        <v>109</v>
      </c>
      <c r="O311" s="27" t="s">
        <v>244</v>
      </c>
      <c r="P311" s="27" t="s">
        <v>117</v>
      </c>
      <c r="Q311" s="27" t="s">
        <v>245</v>
      </c>
    </row>
    <row r="312" spans="1:17" x14ac:dyDescent="0.2">
      <c r="A312" s="27" t="s">
        <v>104</v>
      </c>
      <c r="B312" s="27" t="s">
        <v>5</v>
      </c>
      <c r="C312" s="29" t="s">
        <v>1593</v>
      </c>
      <c r="D312" s="30">
        <v>45965</v>
      </c>
      <c r="E312" s="27" t="s">
        <v>105</v>
      </c>
      <c r="F312" s="27" t="s">
        <v>259</v>
      </c>
      <c r="G312" s="27" t="s">
        <v>260</v>
      </c>
      <c r="H312" s="27" t="s">
        <v>261</v>
      </c>
      <c r="I312" s="27" t="s">
        <v>262</v>
      </c>
      <c r="J312" s="27" t="s">
        <v>184</v>
      </c>
      <c r="K312" s="27" t="s">
        <v>263</v>
      </c>
      <c r="L312" s="28">
        <v>45965</v>
      </c>
      <c r="M312" s="31">
        <v>53.04</v>
      </c>
      <c r="N312" s="27" t="s">
        <v>109</v>
      </c>
      <c r="O312" s="27" t="s">
        <v>143</v>
      </c>
      <c r="P312" s="27" t="s">
        <v>117</v>
      </c>
      <c r="Q312" s="27" t="s">
        <v>264</v>
      </c>
    </row>
    <row r="313" spans="1:17" x14ac:dyDescent="0.2">
      <c r="A313" s="27" t="s">
        <v>104</v>
      </c>
      <c r="B313" s="27" t="s">
        <v>5</v>
      </c>
      <c r="C313" s="29" t="s">
        <v>1593</v>
      </c>
      <c r="D313" s="30">
        <v>45965</v>
      </c>
      <c r="E313" s="27" t="s">
        <v>105</v>
      </c>
      <c r="F313" s="27" t="s">
        <v>253</v>
      </c>
      <c r="G313" s="27" t="s">
        <v>254</v>
      </c>
      <c r="H313" s="27" t="s">
        <v>255</v>
      </c>
      <c r="I313" s="27" t="s">
        <v>1550</v>
      </c>
      <c r="J313" s="27" t="s">
        <v>256</v>
      </c>
      <c r="K313" s="27" t="s">
        <v>257</v>
      </c>
      <c r="L313" s="28">
        <v>45965</v>
      </c>
      <c r="M313" s="31">
        <v>31.28</v>
      </c>
      <c r="N313" s="27" t="s">
        <v>109</v>
      </c>
      <c r="O313" s="27" t="s">
        <v>218</v>
      </c>
      <c r="P313" s="27" t="s">
        <v>117</v>
      </c>
      <c r="Q313" s="27" t="s">
        <v>258</v>
      </c>
    </row>
    <row r="314" spans="1:17" x14ac:dyDescent="0.2">
      <c r="A314" s="27" t="s">
        <v>104</v>
      </c>
      <c r="B314" s="27" t="s">
        <v>5</v>
      </c>
      <c r="C314" s="29" t="s">
        <v>1593</v>
      </c>
      <c r="D314" s="30">
        <v>45965</v>
      </c>
      <c r="E314" s="27" t="s">
        <v>105</v>
      </c>
      <c r="F314" s="27" t="s">
        <v>265</v>
      </c>
      <c r="G314" s="27" t="s">
        <v>266</v>
      </c>
      <c r="H314" s="27" t="s">
        <v>267</v>
      </c>
      <c r="I314" s="27" t="s">
        <v>268</v>
      </c>
      <c r="J314" s="27" t="s">
        <v>269</v>
      </c>
      <c r="K314" s="27" t="s">
        <v>270</v>
      </c>
      <c r="L314" s="28">
        <v>45964</v>
      </c>
      <c r="M314" s="31">
        <v>18</v>
      </c>
      <c r="N314" s="27" t="s">
        <v>109</v>
      </c>
      <c r="O314" s="27" t="s">
        <v>199</v>
      </c>
      <c r="P314" s="27" t="s">
        <v>117</v>
      </c>
      <c r="Q314" s="27" t="s">
        <v>271</v>
      </c>
    </row>
    <row r="315" spans="1:17" x14ac:dyDescent="0.2">
      <c r="A315" s="27" t="s">
        <v>104</v>
      </c>
      <c r="B315" s="27" t="s">
        <v>5</v>
      </c>
      <c r="C315" s="29" t="s">
        <v>1593</v>
      </c>
      <c r="D315" s="30">
        <v>45965</v>
      </c>
      <c r="E315" s="27" t="s">
        <v>105</v>
      </c>
      <c r="F315" s="27" t="s">
        <v>246</v>
      </c>
      <c r="G315" s="27" t="s">
        <v>247</v>
      </c>
      <c r="H315" s="27" t="s">
        <v>248</v>
      </c>
      <c r="I315" s="27" t="s">
        <v>1549</v>
      </c>
      <c r="J315" s="27" t="s">
        <v>249</v>
      </c>
      <c r="K315" s="27" t="s">
        <v>250</v>
      </c>
      <c r="L315" s="28">
        <v>45965</v>
      </c>
      <c r="M315" s="31">
        <v>9</v>
      </c>
      <c r="N315" s="27" t="s">
        <v>109</v>
      </c>
      <c r="O315" s="27" t="s">
        <v>251</v>
      </c>
      <c r="P315" s="27" t="s">
        <v>117</v>
      </c>
      <c r="Q315" s="27" t="s">
        <v>252</v>
      </c>
    </row>
    <row r="316" spans="1:17" x14ac:dyDescent="0.2">
      <c r="A316" s="27" t="s">
        <v>104</v>
      </c>
      <c r="B316" s="27" t="s">
        <v>5</v>
      </c>
      <c r="C316" s="29" t="s">
        <v>1593</v>
      </c>
      <c r="D316" s="30">
        <v>45966</v>
      </c>
      <c r="E316" s="27" t="s">
        <v>105</v>
      </c>
      <c r="F316" s="27" t="s">
        <v>226</v>
      </c>
      <c r="G316" s="27" t="s">
        <v>227</v>
      </c>
      <c r="H316" s="27" t="s">
        <v>228</v>
      </c>
      <c r="I316" s="27" t="s">
        <v>229</v>
      </c>
      <c r="J316" s="27" t="s">
        <v>230</v>
      </c>
      <c r="K316" s="27" t="s">
        <v>231</v>
      </c>
      <c r="L316" s="28">
        <v>45966</v>
      </c>
      <c r="M316" s="31">
        <v>11</v>
      </c>
      <c r="N316" s="27" t="s">
        <v>109</v>
      </c>
      <c r="O316" s="27" t="s">
        <v>143</v>
      </c>
      <c r="P316" s="27" t="s">
        <v>117</v>
      </c>
      <c r="Q316" s="27" t="s">
        <v>232</v>
      </c>
    </row>
    <row r="317" spans="1:17" x14ac:dyDescent="0.2">
      <c r="A317" s="27" t="s">
        <v>104</v>
      </c>
      <c r="B317" s="27" t="s">
        <v>12</v>
      </c>
      <c r="C317" s="27"/>
      <c r="D317" s="30">
        <v>45967</v>
      </c>
      <c r="E317" s="27" t="s">
        <v>105</v>
      </c>
      <c r="F317" s="27" t="s">
        <v>225</v>
      </c>
      <c r="K317" s="27" t="s">
        <v>1548</v>
      </c>
      <c r="L317" s="28">
        <v>45962</v>
      </c>
      <c r="M317" s="31">
        <v>-7.5</v>
      </c>
      <c r="N317" s="27" t="s">
        <v>109</v>
      </c>
      <c r="Q317" s="27" t="s">
        <v>1548</v>
      </c>
    </row>
    <row r="318" spans="1:17" x14ac:dyDescent="0.2">
      <c r="A318" s="27" t="s">
        <v>104</v>
      </c>
      <c r="B318" s="27" t="s">
        <v>5</v>
      </c>
      <c r="C318" s="29" t="s">
        <v>1593</v>
      </c>
      <c r="D318" s="30">
        <v>45967</v>
      </c>
      <c r="E318" s="27" t="s">
        <v>105</v>
      </c>
      <c r="F318" s="27" t="s">
        <v>220</v>
      </c>
      <c r="G318" s="27" t="s">
        <v>19</v>
      </c>
      <c r="H318" s="27" t="s">
        <v>75</v>
      </c>
      <c r="I318" s="27" t="s">
        <v>221</v>
      </c>
      <c r="J318" s="27" t="s">
        <v>222</v>
      </c>
      <c r="K318" s="27" t="s">
        <v>223</v>
      </c>
      <c r="L318" s="28">
        <v>45967</v>
      </c>
      <c r="M318" s="31">
        <v>574.26</v>
      </c>
      <c r="N318" s="27" t="s">
        <v>109</v>
      </c>
      <c r="O318" s="27" t="s">
        <v>143</v>
      </c>
      <c r="P318" s="27" t="s">
        <v>117</v>
      </c>
      <c r="Q318" s="27" t="s">
        <v>224</v>
      </c>
    </row>
    <row r="319" spans="1:17" x14ac:dyDescent="0.2">
      <c r="A319" s="27" t="s">
        <v>104</v>
      </c>
      <c r="B319" s="27" t="s">
        <v>5</v>
      </c>
      <c r="C319" s="29" t="s">
        <v>1593</v>
      </c>
      <c r="D319" s="30">
        <v>45967</v>
      </c>
      <c r="E319" s="27" t="s">
        <v>105</v>
      </c>
      <c r="F319" s="27" t="s">
        <v>201</v>
      </c>
      <c r="G319" s="27" t="s">
        <v>50</v>
      </c>
      <c r="H319" s="27" t="s">
        <v>51</v>
      </c>
      <c r="I319" s="27" t="s">
        <v>202</v>
      </c>
      <c r="J319" s="27" t="s">
        <v>203</v>
      </c>
      <c r="K319" s="27" t="s">
        <v>204</v>
      </c>
      <c r="L319" s="28">
        <v>45967</v>
      </c>
      <c r="M319" s="31">
        <v>225.02</v>
      </c>
      <c r="N319" s="27" t="s">
        <v>109</v>
      </c>
      <c r="O319" s="27" t="s">
        <v>199</v>
      </c>
      <c r="P319" s="27" t="s">
        <v>117</v>
      </c>
      <c r="Q319" s="27" t="s">
        <v>205</v>
      </c>
    </row>
    <row r="320" spans="1:17" x14ac:dyDescent="0.2">
      <c r="A320" s="27" t="s">
        <v>104</v>
      </c>
      <c r="B320" s="27" t="s">
        <v>5</v>
      </c>
      <c r="C320" s="29" t="s">
        <v>1593</v>
      </c>
      <c r="D320" s="30">
        <v>45967</v>
      </c>
      <c r="E320" s="27" t="s">
        <v>105</v>
      </c>
      <c r="F320" s="27" t="s">
        <v>213</v>
      </c>
      <c r="G320" s="27" t="s">
        <v>214</v>
      </c>
      <c r="H320" s="27" t="s">
        <v>215</v>
      </c>
      <c r="I320" s="27" t="s">
        <v>1547</v>
      </c>
      <c r="J320" s="27" t="s">
        <v>216</v>
      </c>
      <c r="K320" s="27" t="s">
        <v>217</v>
      </c>
      <c r="L320" s="28">
        <v>45967</v>
      </c>
      <c r="M320" s="31">
        <v>71</v>
      </c>
      <c r="N320" s="27" t="s">
        <v>109</v>
      </c>
      <c r="O320" s="27" t="s">
        <v>218</v>
      </c>
      <c r="P320" s="27" t="s">
        <v>117</v>
      </c>
      <c r="Q320" s="27" t="s">
        <v>219</v>
      </c>
    </row>
    <row r="321" spans="1:17" x14ac:dyDescent="0.2">
      <c r="A321" s="27" t="s">
        <v>104</v>
      </c>
      <c r="B321" s="27" t="s">
        <v>5</v>
      </c>
      <c r="C321" s="29" t="s">
        <v>1593</v>
      </c>
      <c r="D321" s="30">
        <v>45967</v>
      </c>
      <c r="E321" s="27" t="s">
        <v>105</v>
      </c>
      <c r="F321" s="27" t="s">
        <v>195</v>
      </c>
      <c r="G321" s="27" t="s">
        <v>15</v>
      </c>
      <c r="H321" s="27" t="s">
        <v>16</v>
      </c>
      <c r="I321" s="27" t="s">
        <v>196</v>
      </c>
      <c r="J321" s="27" t="s">
        <v>197</v>
      </c>
      <c r="K321" s="27" t="s">
        <v>198</v>
      </c>
      <c r="L321" s="28">
        <v>45967</v>
      </c>
      <c r="M321" s="31">
        <v>64.38</v>
      </c>
      <c r="N321" s="27" t="s">
        <v>109</v>
      </c>
      <c r="O321" s="27" t="s">
        <v>199</v>
      </c>
      <c r="P321" s="27" t="s">
        <v>117</v>
      </c>
      <c r="Q321" s="27" t="s">
        <v>200</v>
      </c>
    </row>
    <row r="322" spans="1:17" x14ac:dyDescent="0.2">
      <c r="A322" s="27" t="s">
        <v>104</v>
      </c>
      <c r="B322" s="27" t="s">
        <v>5</v>
      </c>
      <c r="C322" s="29" t="s">
        <v>1593</v>
      </c>
      <c r="D322" s="30">
        <v>45967</v>
      </c>
      <c r="E322" s="27" t="s">
        <v>105</v>
      </c>
      <c r="F322" s="27" t="s">
        <v>206</v>
      </c>
      <c r="G322" s="27" t="s">
        <v>207</v>
      </c>
      <c r="H322" s="27" t="s">
        <v>208</v>
      </c>
      <c r="I322" s="27" t="s">
        <v>209</v>
      </c>
      <c r="J322" s="27" t="s">
        <v>210</v>
      </c>
      <c r="K322" s="27" t="s">
        <v>211</v>
      </c>
      <c r="L322" s="28">
        <v>45967</v>
      </c>
      <c r="M322" s="31">
        <v>20.399999999999999</v>
      </c>
      <c r="N322" s="27" t="s">
        <v>109</v>
      </c>
      <c r="O322" s="27" t="s">
        <v>199</v>
      </c>
      <c r="P322" s="27" t="s">
        <v>117</v>
      </c>
      <c r="Q322" s="27" t="s">
        <v>212</v>
      </c>
    </row>
    <row r="323" spans="1:17" x14ac:dyDescent="0.2">
      <c r="A323" s="27" t="s">
        <v>104</v>
      </c>
      <c r="B323" s="27" t="s">
        <v>5</v>
      </c>
      <c r="C323" s="29" t="s">
        <v>1593</v>
      </c>
      <c r="D323" s="30">
        <v>45968</v>
      </c>
      <c r="E323" s="27" t="s">
        <v>105</v>
      </c>
      <c r="F323" s="27" t="s">
        <v>180</v>
      </c>
      <c r="G323" s="27" t="s">
        <v>181</v>
      </c>
      <c r="H323" s="27" t="s">
        <v>182</v>
      </c>
      <c r="I323" s="27" t="s">
        <v>183</v>
      </c>
      <c r="J323" s="27" t="s">
        <v>184</v>
      </c>
      <c r="K323" s="27" t="s">
        <v>185</v>
      </c>
      <c r="L323" s="28">
        <v>45968</v>
      </c>
      <c r="M323" s="31">
        <v>11</v>
      </c>
      <c r="N323" s="27" t="s">
        <v>109</v>
      </c>
      <c r="O323" s="27" t="s">
        <v>186</v>
      </c>
      <c r="P323" s="27" t="s">
        <v>117</v>
      </c>
      <c r="Q323" s="27" t="s">
        <v>187</v>
      </c>
    </row>
    <row r="324" spans="1:17" x14ac:dyDescent="0.2">
      <c r="A324" s="27" t="s">
        <v>104</v>
      </c>
      <c r="B324" s="27" t="s">
        <v>5</v>
      </c>
      <c r="C324" s="29" t="s">
        <v>1593</v>
      </c>
      <c r="D324" s="30">
        <v>45968</v>
      </c>
      <c r="E324" s="27" t="s">
        <v>105</v>
      </c>
      <c r="F324" s="27" t="s">
        <v>188</v>
      </c>
      <c r="G324" s="27" t="s">
        <v>189</v>
      </c>
      <c r="H324" s="27" t="s">
        <v>190</v>
      </c>
      <c r="I324" s="27" t="s">
        <v>191</v>
      </c>
      <c r="J324" s="27" t="s">
        <v>192</v>
      </c>
      <c r="K324" s="27" t="s">
        <v>193</v>
      </c>
      <c r="L324" s="28">
        <v>45968</v>
      </c>
      <c r="M324" s="31">
        <v>11</v>
      </c>
      <c r="N324" s="27" t="s">
        <v>109</v>
      </c>
      <c r="O324" s="27" t="s">
        <v>143</v>
      </c>
      <c r="P324" s="27" t="s">
        <v>117</v>
      </c>
      <c r="Q324" s="27" t="s">
        <v>194</v>
      </c>
    </row>
    <row r="325" spans="1:17" x14ac:dyDescent="0.2">
      <c r="A325" s="27" t="s">
        <v>104</v>
      </c>
      <c r="B325" s="27" t="s">
        <v>13</v>
      </c>
      <c r="C325" s="27"/>
      <c r="D325" s="30">
        <v>45971</v>
      </c>
      <c r="E325" s="27" t="s">
        <v>105</v>
      </c>
      <c r="F325" s="27" t="s">
        <v>178</v>
      </c>
      <c r="G325" s="27" t="s">
        <v>14</v>
      </c>
      <c r="H325" s="27" t="s">
        <v>53</v>
      </c>
      <c r="K325" s="27" t="s">
        <v>179</v>
      </c>
      <c r="L325" s="28">
        <v>45971</v>
      </c>
      <c r="M325" s="31">
        <v>-1250</v>
      </c>
      <c r="N325" s="27" t="s">
        <v>109</v>
      </c>
      <c r="O325" s="27" t="s">
        <v>124</v>
      </c>
      <c r="Q325" s="27" t="s">
        <v>164</v>
      </c>
    </row>
    <row r="326" spans="1:17" x14ac:dyDescent="0.2">
      <c r="A326" s="27" t="s">
        <v>104</v>
      </c>
      <c r="B326" s="27" t="s">
        <v>5</v>
      </c>
      <c r="C326" s="29" t="s">
        <v>1593</v>
      </c>
      <c r="D326" s="30">
        <v>45974</v>
      </c>
      <c r="E326" s="27" t="s">
        <v>105</v>
      </c>
      <c r="F326" s="27" t="s">
        <v>173</v>
      </c>
      <c r="G326" s="27" t="s">
        <v>44</v>
      </c>
      <c r="H326" s="27" t="s">
        <v>76</v>
      </c>
      <c r="I326" s="27" t="s">
        <v>174</v>
      </c>
      <c r="J326" s="27" t="s">
        <v>175</v>
      </c>
      <c r="K326" s="27" t="s">
        <v>176</v>
      </c>
      <c r="L326" s="28">
        <v>45974</v>
      </c>
      <c r="M326" s="31">
        <v>392.2</v>
      </c>
      <c r="N326" s="27" t="s">
        <v>109</v>
      </c>
      <c r="O326" s="27" t="s">
        <v>143</v>
      </c>
      <c r="P326" s="27" t="s">
        <v>117</v>
      </c>
      <c r="Q326" s="27" t="s">
        <v>177</v>
      </c>
    </row>
    <row r="327" spans="1:17" x14ac:dyDescent="0.2">
      <c r="A327" s="27" t="s">
        <v>104</v>
      </c>
      <c r="B327" s="27" t="s">
        <v>52</v>
      </c>
      <c r="C327" s="27"/>
      <c r="D327" s="30">
        <v>45979</v>
      </c>
      <c r="E327" s="27" t="s">
        <v>105</v>
      </c>
      <c r="F327" s="27" t="s">
        <v>169</v>
      </c>
      <c r="H327" s="27" t="s">
        <v>170</v>
      </c>
      <c r="J327" s="27" t="s">
        <v>171</v>
      </c>
      <c r="K327" s="27" t="s">
        <v>172</v>
      </c>
      <c r="L327" s="28">
        <v>45979</v>
      </c>
      <c r="M327" s="31">
        <v>-27.29</v>
      </c>
      <c r="N327" s="27" t="s">
        <v>109</v>
      </c>
      <c r="P327" s="27" t="s">
        <v>117</v>
      </c>
      <c r="Q327" s="27" t="s">
        <v>172</v>
      </c>
    </row>
    <row r="328" spans="1:17" x14ac:dyDescent="0.2">
      <c r="A328" s="27" t="s">
        <v>104</v>
      </c>
      <c r="B328" s="27" t="s">
        <v>8</v>
      </c>
      <c r="C328" s="27"/>
      <c r="D328" s="30">
        <v>45980</v>
      </c>
      <c r="E328" s="27" t="s">
        <v>105</v>
      </c>
      <c r="F328" s="27" t="s">
        <v>165</v>
      </c>
      <c r="H328" s="27" t="s">
        <v>166</v>
      </c>
      <c r="J328" s="27" t="s">
        <v>167</v>
      </c>
      <c r="K328" s="27" t="s">
        <v>168</v>
      </c>
      <c r="L328" s="28">
        <v>45980</v>
      </c>
      <c r="M328" s="31">
        <v>-228.15</v>
      </c>
      <c r="N328" s="27" t="s">
        <v>109</v>
      </c>
      <c r="P328" s="27" t="s">
        <v>117</v>
      </c>
      <c r="Q328" s="27" t="s">
        <v>168</v>
      </c>
    </row>
    <row r="329" spans="1:17" x14ac:dyDescent="0.2">
      <c r="A329" s="27" t="s">
        <v>104</v>
      </c>
      <c r="B329" s="27" t="s">
        <v>13</v>
      </c>
      <c r="C329" s="27"/>
      <c r="D329" s="30">
        <v>45981</v>
      </c>
      <c r="E329" s="27" t="s">
        <v>105</v>
      </c>
      <c r="F329" s="27" t="s">
        <v>162</v>
      </c>
      <c r="G329" s="27" t="s">
        <v>14</v>
      </c>
      <c r="H329" s="27" t="s">
        <v>53</v>
      </c>
      <c r="K329" s="27" t="s">
        <v>163</v>
      </c>
      <c r="L329" s="28">
        <v>45981</v>
      </c>
      <c r="M329" s="31">
        <v>-1000</v>
      </c>
      <c r="N329" s="27" t="s">
        <v>109</v>
      </c>
      <c r="O329" s="27" t="s">
        <v>124</v>
      </c>
      <c r="Q329" s="27" t="s">
        <v>164</v>
      </c>
    </row>
    <row r="330" spans="1:17" x14ac:dyDescent="0.2">
      <c r="A330" s="27" t="s">
        <v>104</v>
      </c>
      <c r="B330" s="27" t="s">
        <v>5</v>
      </c>
      <c r="C330" s="29" t="s">
        <v>1593</v>
      </c>
      <c r="D330" s="30">
        <v>45982</v>
      </c>
      <c r="E330" s="27" t="s">
        <v>105</v>
      </c>
      <c r="F330" s="27" t="s">
        <v>155</v>
      </c>
      <c r="G330" s="27" t="s">
        <v>156</v>
      </c>
      <c r="H330" s="27" t="s">
        <v>157</v>
      </c>
      <c r="I330" s="27" t="s">
        <v>158</v>
      </c>
      <c r="J330" s="27" t="s">
        <v>159</v>
      </c>
      <c r="K330" s="27" t="s">
        <v>160</v>
      </c>
      <c r="L330" s="28">
        <v>45982</v>
      </c>
      <c r="M330" s="31">
        <v>18</v>
      </c>
      <c r="N330" s="27" t="s">
        <v>109</v>
      </c>
      <c r="O330" s="27" t="s">
        <v>143</v>
      </c>
      <c r="P330" s="27" t="s">
        <v>117</v>
      </c>
      <c r="Q330" s="27" t="s">
        <v>161</v>
      </c>
    </row>
    <row r="331" spans="1:17" x14ac:dyDescent="0.2">
      <c r="A331" s="27" t="s">
        <v>104</v>
      </c>
      <c r="B331" s="27" t="s">
        <v>28</v>
      </c>
      <c r="C331" s="27"/>
      <c r="D331" s="30">
        <v>45985</v>
      </c>
      <c r="E331" s="27" t="s">
        <v>105</v>
      </c>
      <c r="F331" s="27" t="s">
        <v>151</v>
      </c>
      <c r="G331" s="27" t="s">
        <v>29</v>
      </c>
      <c r="H331" s="27" t="s">
        <v>30</v>
      </c>
      <c r="I331" s="27" t="s">
        <v>152</v>
      </c>
      <c r="J331" s="27" t="s">
        <v>153</v>
      </c>
      <c r="K331" s="27" t="s">
        <v>154</v>
      </c>
      <c r="L331" s="28">
        <v>45985</v>
      </c>
      <c r="M331" s="31">
        <v>-500</v>
      </c>
      <c r="N331" s="27" t="s">
        <v>109</v>
      </c>
      <c r="O331" s="27" t="s">
        <v>124</v>
      </c>
      <c r="P331" s="27" t="s">
        <v>117</v>
      </c>
      <c r="Q331" s="27" t="s">
        <v>154</v>
      </c>
    </row>
    <row r="332" spans="1:17" x14ac:dyDescent="0.2">
      <c r="A332" s="27" t="s">
        <v>104</v>
      </c>
      <c r="B332" s="27" t="s">
        <v>5</v>
      </c>
      <c r="C332" s="27"/>
      <c r="D332" s="30">
        <v>45986</v>
      </c>
      <c r="E332" s="27" t="s">
        <v>105</v>
      </c>
      <c r="F332" s="27" t="s">
        <v>145</v>
      </c>
      <c r="G332" s="27" t="s">
        <v>68</v>
      </c>
      <c r="H332" s="27" t="s">
        <v>69</v>
      </c>
      <c r="I332" s="27" t="s">
        <v>146</v>
      </c>
      <c r="J332" s="27" t="s">
        <v>147</v>
      </c>
      <c r="K332" s="27" t="s">
        <v>148</v>
      </c>
      <c r="L332" s="28">
        <v>45986</v>
      </c>
      <c r="M332" s="31">
        <v>800</v>
      </c>
      <c r="N332" s="27" t="s">
        <v>109</v>
      </c>
      <c r="O332" s="27" t="s">
        <v>149</v>
      </c>
      <c r="P332" s="27" t="s">
        <v>117</v>
      </c>
      <c r="Q332" s="27" t="s">
        <v>150</v>
      </c>
    </row>
    <row r="333" spans="1:17" x14ac:dyDescent="0.2">
      <c r="A333" s="27" t="s">
        <v>104</v>
      </c>
      <c r="B333" s="27" t="s">
        <v>13</v>
      </c>
      <c r="C333" s="27"/>
      <c r="D333" s="30">
        <v>45987</v>
      </c>
      <c r="E333" s="27" t="s">
        <v>105</v>
      </c>
      <c r="F333" s="27" t="s">
        <v>122</v>
      </c>
      <c r="G333" s="27" t="s">
        <v>14</v>
      </c>
      <c r="H333" s="27" t="s">
        <v>53</v>
      </c>
      <c r="K333" s="27" t="s">
        <v>123</v>
      </c>
      <c r="L333" s="28">
        <v>45987</v>
      </c>
      <c r="M333" s="31">
        <v>-1000</v>
      </c>
      <c r="N333" s="27" t="s">
        <v>109</v>
      </c>
      <c r="O333" s="27" t="s">
        <v>124</v>
      </c>
      <c r="Q333" s="27" t="s">
        <v>125</v>
      </c>
    </row>
    <row r="334" spans="1:17" x14ac:dyDescent="0.2">
      <c r="A334" s="27" t="s">
        <v>104</v>
      </c>
      <c r="B334" s="27" t="s">
        <v>32</v>
      </c>
      <c r="C334" s="27"/>
      <c r="D334" s="30">
        <v>45987</v>
      </c>
      <c r="E334" s="27" t="s">
        <v>105</v>
      </c>
      <c r="F334" s="27" t="s">
        <v>139</v>
      </c>
      <c r="G334" s="27" t="s">
        <v>140</v>
      </c>
      <c r="H334" s="27" t="s">
        <v>141</v>
      </c>
      <c r="K334" s="27" t="s">
        <v>142</v>
      </c>
      <c r="L334" s="28">
        <v>45987</v>
      </c>
      <c r="M334" s="31">
        <v>-26.67</v>
      </c>
      <c r="N334" s="27" t="s">
        <v>109</v>
      </c>
      <c r="O334" s="27" t="s">
        <v>143</v>
      </c>
      <c r="Q334" s="27" t="s">
        <v>144</v>
      </c>
    </row>
    <row r="335" spans="1:17" x14ac:dyDescent="0.2">
      <c r="A335" s="27" t="s">
        <v>104</v>
      </c>
      <c r="B335" s="27" t="s">
        <v>32</v>
      </c>
      <c r="C335" s="27"/>
      <c r="D335" s="30">
        <v>45987</v>
      </c>
      <c r="E335" s="27" t="s">
        <v>105</v>
      </c>
      <c r="F335" s="27" t="s">
        <v>134</v>
      </c>
      <c r="G335" s="27" t="s">
        <v>78</v>
      </c>
      <c r="H335" s="27" t="s">
        <v>79</v>
      </c>
      <c r="I335" s="27" t="s">
        <v>135</v>
      </c>
      <c r="J335" s="27" t="s">
        <v>136</v>
      </c>
      <c r="K335" s="27" t="s">
        <v>137</v>
      </c>
      <c r="L335" s="28">
        <v>45987</v>
      </c>
      <c r="M335" s="31">
        <v>26.67</v>
      </c>
      <c r="N335" s="27" t="s">
        <v>109</v>
      </c>
      <c r="O335" s="27" t="s">
        <v>124</v>
      </c>
      <c r="P335" s="27" t="s">
        <v>117</v>
      </c>
      <c r="Q335" s="27" t="s">
        <v>138</v>
      </c>
    </row>
    <row r="336" spans="1:17" x14ac:dyDescent="0.2">
      <c r="A336" s="27" t="s">
        <v>104</v>
      </c>
      <c r="B336" s="27" t="s">
        <v>5</v>
      </c>
      <c r="C336" s="29"/>
      <c r="D336" s="30">
        <v>45987</v>
      </c>
      <c r="E336" s="27" t="s">
        <v>105</v>
      </c>
      <c r="F336" s="27" t="s">
        <v>126</v>
      </c>
      <c r="G336" s="27" t="s">
        <v>127</v>
      </c>
      <c r="H336" s="27" t="s">
        <v>128</v>
      </c>
      <c r="I336" s="27" t="s">
        <v>129</v>
      </c>
      <c r="J336" s="27" t="s">
        <v>130</v>
      </c>
      <c r="K336" s="27" t="s">
        <v>131</v>
      </c>
      <c r="L336" s="28">
        <v>45987</v>
      </c>
      <c r="M336" s="31">
        <v>24.99</v>
      </c>
      <c r="N336" s="27" t="s">
        <v>109</v>
      </c>
      <c r="O336" s="27" t="s">
        <v>132</v>
      </c>
      <c r="P336" s="27" t="s">
        <v>110</v>
      </c>
      <c r="Q336" s="27" t="s">
        <v>133</v>
      </c>
    </row>
    <row r="337" spans="1:17" x14ac:dyDescent="0.2">
      <c r="A337" s="27" t="s">
        <v>104</v>
      </c>
      <c r="B337" s="27" t="s">
        <v>6</v>
      </c>
      <c r="C337" s="27"/>
      <c r="D337" s="30">
        <v>45988</v>
      </c>
      <c r="E337" s="27" t="s">
        <v>105</v>
      </c>
      <c r="F337" s="27" t="s">
        <v>113</v>
      </c>
      <c r="H337" s="27" t="s">
        <v>114</v>
      </c>
      <c r="J337" s="27" t="s">
        <v>115</v>
      </c>
      <c r="K337" s="27" t="s">
        <v>116</v>
      </c>
      <c r="L337" s="28">
        <v>45988</v>
      </c>
      <c r="M337" s="31">
        <v>-6.7</v>
      </c>
      <c r="N337" s="27" t="s">
        <v>109</v>
      </c>
      <c r="P337" s="27" t="s">
        <v>117</v>
      </c>
      <c r="Q337" s="27" t="s">
        <v>116</v>
      </c>
    </row>
    <row r="338" spans="1:17" x14ac:dyDescent="0.2">
      <c r="A338" s="27" t="s">
        <v>104</v>
      </c>
      <c r="B338" s="27" t="s">
        <v>6</v>
      </c>
      <c r="C338" s="27"/>
      <c r="D338" s="30">
        <v>45988</v>
      </c>
      <c r="E338" s="27" t="s">
        <v>105</v>
      </c>
      <c r="F338" s="27" t="s">
        <v>118</v>
      </c>
      <c r="H338" s="27" t="s">
        <v>112</v>
      </c>
      <c r="J338" s="27" t="s">
        <v>108</v>
      </c>
      <c r="K338" s="27" t="s">
        <v>1545</v>
      </c>
      <c r="L338" s="28">
        <v>45988</v>
      </c>
      <c r="M338" s="31">
        <v>-4.58</v>
      </c>
      <c r="N338" s="27" t="s">
        <v>109</v>
      </c>
      <c r="P338" s="27" t="s">
        <v>110</v>
      </c>
      <c r="Q338" s="27" t="s">
        <v>1545</v>
      </c>
    </row>
    <row r="339" spans="1:17" x14ac:dyDescent="0.2">
      <c r="A339" s="27" t="s">
        <v>104</v>
      </c>
      <c r="B339" s="27" t="s">
        <v>6</v>
      </c>
      <c r="C339" s="27"/>
      <c r="D339" s="30">
        <v>45988</v>
      </c>
      <c r="E339" s="27" t="s">
        <v>105</v>
      </c>
      <c r="F339" s="27" t="s">
        <v>119</v>
      </c>
      <c r="H339" s="27" t="s">
        <v>107</v>
      </c>
      <c r="J339" s="27" t="s">
        <v>108</v>
      </c>
      <c r="K339" s="27" t="s">
        <v>1546</v>
      </c>
      <c r="L339" s="28">
        <v>45988</v>
      </c>
      <c r="M339" s="31">
        <v>-2.5</v>
      </c>
      <c r="N339" s="27" t="s">
        <v>109</v>
      </c>
      <c r="P339" s="27" t="s">
        <v>110</v>
      </c>
      <c r="Q339" s="27" t="s">
        <v>1546</v>
      </c>
    </row>
    <row r="340" spans="1:17" x14ac:dyDescent="0.2">
      <c r="A340" s="27" t="s">
        <v>104</v>
      </c>
      <c r="B340" s="27" t="s">
        <v>6</v>
      </c>
      <c r="C340" s="27"/>
      <c r="D340" s="30">
        <v>45988</v>
      </c>
      <c r="E340" s="27" t="s">
        <v>105</v>
      </c>
      <c r="F340" s="27" t="s">
        <v>120</v>
      </c>
      <c r="H340" s="27" t="s">
        <v>114</v>
      </c>
      <c r="J340" s="27" t="s">
        <v>115</v>
      </c>
      <c r="K340" s="27" t="s">
        <v>121</v>
      </c>
      <c r="L340" s="28">
        <v>45988</v>
      </c>
      <c r="M340" s="31">
        <v>-9.4</v>
      </c>
      <c r="N340" s="27" t="s">
        <v>109</v>
      </c>
      <c r="P340" s="27" t="s">
        <v>117</v>
      </c>
      <c r="Q340" s="27" t="s">
        <v>121</v>
      </c>
    </row>
    <row r="341" spans="1:17" x14ac:dyDescent="0.2">
      <c r="A341" s="27" t="s">
        <v>104</v>
      </c>
      <c r="B341" s="27" t="s">
        <v>6</v>
      </c>
      <c r="C341" s="27"/>
      <c r="D341" s="30">
        <v>45989</v>
      </c>
      <c r="E341" s="27" t="s">
        <v>105</v>
      </c>
      <c r="F341" s="27" t="s">
        <v>106</v>
      </c>
      <c r="H341" s="27" t="s">
        <v>107</v>
      </c>
      <c r="J341" s="27" t="s">
        <v>108</v>
      </c>
      <c r="K341" s="27" t="s">
        <v>1543</v>
      </c>
      <c r="L341" s="28">
        <v>45989</v>
      </c>
      <c r="M341" s="31">
        <v>-2.5</v>
      </c>
      <c r="N341" s="27" t="s">
        <v>109</v>
      </c>
      <c r="P341" s="27" t="s">
        <v>110</v>
      </c>
      <c r="Q341" s="27" t="s">
        <v>1543</v>
      </c>
    </row>
    <row r="342" spans="1:17" x14ac:dyDescent="0.2">
      <c r="A342" s="27" t="s">
        <v>104</v>
      </c>
      <c r="B342" s="27" t="s">
        <v>6</v>
      </c>
      <c r="C342" s="27"/>
      <c r="D342" s="30">
        <v>45989</v>
      </c>
      <c r="E342" s="27" t="s">
        <v>105</v>
      </c>
      <c r="F342" s="27" t="s">
        <v>111</v>
      </c>
      <c r="H342" s="27" t="s">
        <v>112</v>
      </c>
      <c r="J342" s="27" t="s">
        <v>108</v>
      </c>
      <c r="K342" s="27" t="s">
        <v>1544</v>
      </c>
      <c r="L342" s="28">
        <v>45989</v>
      </c>
      <c r="M342" s="31">
        <v>-7.78</v>
      </c>
      <c r="N342" s="27" t="s">
        <v>109</v>
      </c>
      <c r="P342" s="27" t="s">
        <v>110</v>
      </c>
      <c r="Q342" s="27" t="s">
        <v>1544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791114-EF37-A445-B707-96E768429DD1}">
          <x14:formula1>
            <xm:f>categorieën!$A:$A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62C7-0535-8446-8886-C82F44490362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26"/>
  <sheetViews>
    <sheetView workbookViewId="0">
      <selection activeCell="A27" sqref="A27"/>
    </sheetView>
  </sheetViews>
  <sheetFormatPr baseColWidth="10" defaultColWidth="14.5" defaultRowHeight="15" customHeight="1" x14ac:dyDescent="0.2"/>
  <cols>
    <col min="1" max="1" width="37.83203125" customWidth="1"/>
  </cols>
  <sheetData>
    <row r="1" spans="1:1" x14ac:dyDescent="0.2">
      <c r="A1" s="2" t="s">
        <v>80</v>
      </c>
    </row>
    <row r="2" spans="1:1" x14ac:dyDescent="0.2">
      <c r="A2" s="2" t="s">
        <v>12</v>
      </c>
    </row>
    <row r="3" spans="1:1" x14ac:dyDescent="0.2">
      <c r="A3" s="1" t="s">
        <v>52</v>
      </c>
    </row>
    <row r="4" spans="1:1" x14ac:dyDescent="0.2">
      <c r="A4" s="1" t="s">
        <v>56</v>
      </c>
    </row>
    <row r="5" spans="1:1" x14ac:dyDescent="0.2">
      <c r="A5" s="1" t="s">
        <v>33</v>
      </c>
    </row>
    <row r="6" spans="1:1" x14ac:dyDescent="0.2">
      <c r="A6" s="1" t="s">
        <v>28</v>
      </c>
    </row>
    <row r="7" spans="1:1" x14ac:dyDescent="0.2">
      <c r="A7" s="1" t="s">
        <v>20</v>
      </c>
    </row>
    <row r="8" spans="1:1" x14ac:dyDescent="0.2">
      <c r="A8" s="2" t="s">
        <v>81</v>
      </c>
    </row>
    <row r="9" spans="1:1" x14ac:dyDescent="0.2">
      <c r="A9" s="1" t="s">
        <v>8</v>
      </c>
    </row>
    <row r="10" spans="1:1" x14ac:dyDescent="0.2">
      <c r="A10" s="1" t="s">
        <v>6</v>
      </c>
    </row>
    <row r="11" spans="1:1" x14ac:dyDescent="0.2">
      <c r="A11" s="1" t="s">
        <v>45</v>
      </c>
    </row>
    <row r="12" spans="1:1" x14ac:dyDescent="0.2">
      <c r="A12" s="1" t="s">
        <v>13</v>
      </c>
    </row>
    <row r="13" spans="1:1" x14ac:dyDescent="0.2">
      <c r="A13" s="1" t="s">
        <v>82</v>
      </c>
    </row>
    <row r="14" spans="1:1" x14ac:dyDescent="0.2">
      <c r="A14" s="1" t="s">
        <v>41</v>
      </c>
    </row>
    <row r="15" spans="1:1" x14ac:dyDescent="0.2">
      <c r="A15" s="1" t="s">
        <v>5</v>
      </c>
    </row>
    <row r="16" spans="1:1" x14ac:dyDescent="0.2">
      <c r="A16" s="1" t="s">
        <v>54</v>
      </c>
    </row>
    <row r="17" spans="1:1" x14ac:dyDescent="0.2">
      <c r="A17" s="1" t="s">
        <v>31</v>
      </c>
    </row>
    <row r="18" spans="1:1" x14ac:dyDescent="0.2">
      <c r="A18" s="1" t="s">
        <v>17</v>
      </c>
    </row>
    <row r="19" spans="1:1" x14ac:dyDescent="0.2">
      <c r="A19" s="1" t="s">
        <v>22</v>
      </c>
    </row>
    <row r="20" spans="1:1" x14ac:dyDescent="0.2">
      <c r="A20" s="1" t="s">
        <v>83</v>
      </c>
    </row>
    <row r="21" spans="1:1" x14ac:dyDescent="0.2">
      <c r="A21" s="1" t="s">
        <v>32</v>
      </c>
    </row>
    <row r="22" spans="1:1" x14ac:dyDescent="0.2">
      <c r="A22" s="1" t="s">
        <v>21</v>
      </c>
    </row>
    <row r="23" spans="1:1" x14ac:dyDescent="0.2">
      <c r="A23" s="2" t="s">
        <v>25</v>
      </c>
    </row>
    <row r="24" spans="1:1" x14ac:dyDescent="0.2">
      <c r="A24" s="3" t="s">
        <v>37</v>
      </c>
    </row>
    <row r="25" spans="1:1" ht="15" customHeight="1" x14ac:dyDescent="0.2">
      <c r="A25" s="3" t="s">
        <v>1591</v>
      </c>
    </row>
    <row r="26" spans="1:1" ht="15" customHeight="1" x14ac:dyDescent="0.2">
      <c r="A26" s="3" t="s">
        <v>1592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41"/>
  <sheetViews>
    <sheetView showGridLines="0" tabSelected="1" workbookViewId="0">
      <selection activeCell="F21" sqref="F21"/>
    </sheetView>
  </sheetViews>
  <sheetFormatPr baseColWidth="10" defaultColWidth="14.5" defaultRowHeight="15" customHeight="1" x14ac:dyDescent="0.2"/>
  <cols>
    <col min="1" max="1" width="28.83203125" customWidth="1"/>
    <col min="2" max="3" width="19.1640625" customWidth="1"/>
  </cols>
  <sheetData>
    <row r="1" spans="1:8" x14ac:dyDescent="0.2">
      <c r="A1" s="10" t="s">
        <v>84</v>
      </c>
      <c r="B1" s="10" t="s">
        <v>1</v>
      </c>
      <c r="C1" s="11"/>
      <c r="D1" s="12"/>
    </row>
    <row r="2" spans="1:8" x14ac:dyDescent="0.2">
      <c r="A2" s="10" t="s">
        <v>0</v>
      </c>
      <c r="B2" s="13">
        <v>1</v>
      </c>
      <c r="C2" s="14" t="s">
        <v>90</v>
      </c>
      <c r="D2" s="15" t="s">
        <v>91</v>
      </c>
      <c r="E2" s="2"/>
      <c r="F2" s="2"/>
      <c r="G2" s="2"/>
    </row>
    <row r="3" spans="1:8" x14ac:dyDescent="0.2">
      <c r="A3" s="13" t="s">
        <v>12</v>
      </c>
      <c r="B3" s="16"/>
      <c r="C3" s="17">
        <v>-90</v>
      </c>
      <c r="D3" s="18">
        <v>-90</v>
      </c>
      <c r="E3" s="2"/>
      <c r="F3" s="2">
        <v>1</v>
      </c>
      <c r="G3" s="2">
        <f t="shared" ref="G3:G23" si="0">D3*F3</f>
        <v>-90</v>
      </c>
    </row>
    <row r="4" spans="1:8" x14ac:dyDescent="0.2">
      <c r="A4" s="19" t="s">
        <v>52</v>
      </c>
      <c r="B4" s="20"/>
      <c r="C4" s="21">
        <v>-119.99</v>
      </c>
      <c r="D4" s="22">
        <v>-119.99</v>
      </c>
      <c r="E4" s="2"/>
      <c r="F4" s="2">
        <v>1</v>
      </c>
      <c r="G4" s="2">
        <f t="shared" si="0"/>
        <v>-119.99</v>
      </c>
    </row>
    <row r="5" spans="1:8" x14ac:dyDescent="0.2">
      <c r="A5" s="19" t="s">
        <v>56</v>
      </c>
      <c r="B5" s="20"/>
      <c r="C5" s="21">
        <v>-120.94999999999999</v>
      </c>
      <c r="D5" s="22">
        <v>-120.94999999999999</v>
      </c>
      <c r="E5" s="2"/>
      <c r="F5" s="2">
        <v>1</v>
      </c>
      <c r="G5" s="2">
        <f t="shared" si="0"/>
        <v>-120.94999999999999</v>
      </c>
    </row>
    <row r="6" spans="1:8" x14ac:dyDescent="0.2">
      <c r="A6" s="19" t="s">
        <v>33</v>
      </c>
      <c r="B6" s="20"/>
      <c r="C6" s="21">
        <v>-101</v>
      </c>
      <c r="D6" s="22">
        <v>-101</v>
      </c>
      <c r="E6" s="2"/>
      <c r="F6" s="2">
        <v>1</v>
      </c>
      <c r="G6" s="2">
        <f t="shared" si="0"/>
        <v>-101</v>
      </c>
    </row>
    <row r="7" spans="1:8" x14ac:dyDescent="0.2">
      <c r="A7" s="19" t="s">
        <v>28</v>
      </c>
      <c r="B7" s="20"/>
      <c r="C7" s="21">
        <v>-6000</v>
      </c>
      <c r="D7" s="22">
        <v>-6000</v>
      </c>
      <c r="E7" s="2"/>
      <c r="F7" s="2">
        <v>1</v>
      </c>
      <c r="G7" s="2">
        <f t="shared" si="0"/>
        <v>-6000</v>
      </c>
      <c r="H7" s="2"/>
    </row>
    <row r="8" spans="1:8" x14ac:dyDescent="0.2">
      <c r="A8" s="19" t="s">
        <v>20</v>
      </c>
      <c r="B8" s="20"/>
      <c r="C8" s="21">
        <v>5697.6100000000006</v>
      </c>
      <c r="D8" s="22">
        <v>5697.6100000000006</v>
      </c>
      <c r="E8" s="2"/>
      <c r="F8" s="2">
        <v>0</v>
      </c>
      <c r="G8" s="2">
        <f t="shared" si="0"/>
        <v>0</v>
      </c>
    </row>
    <row r="9" spans="1:8" x14ac:dyDescent="0.2">
      <c r="A9" s="19" t="s">
        <v>8</v>
      </c>
      <c r="B9" s="20"/>
      <c r="C9" s="21">
        <v>-2465.25</v>
      </c>
      <c r="D9" s="22">
        <v>-2465.25</v>
      </c>
      <c r="E9" s="2"/>
      <c r="F9" s="2">
        <v>1</v>
      </c>
      <c r="G9" s="2">
        <f t="shared" si="0"/>
        <v>-2465.25</v>
      </c>
    </row>
    <row r="10" spans="1:8" x14ac:dyDescent="0.2">
      <c r="A10" s="19" t="s">
        <v>6</v>
      </c>
      <c r="B10" s="20"/>
      <c r="C10" s="21">
        <v>-3336.1799999999994</v>
      </c>
      <c r="D10" s="22">
        <v>-3336.1799999999994</v>
      </c>
      <c r="E10" s="2"/>
      <c r="F10" s="2">
        <v>1</v>
      </c>
      <c r="G10" s="2">
        <f t="shared" si="0"/>
        <v>-3336.1799999999994</v>
      </c>
    </row>
    <row r="11" spans="1:8" x14ac:dyDescent="0.2">
      <c r="A11" s="19" t="s">
        <v>45</v>
      </c>
      <c r="B11" s="20"/>
      <c r="C11" s="21">
        <v>-921.80000000000007</v>
      </c>
      <c r="D11" s="22">
        <v>-921.80000000000007</v>
      </c>
      <c r="E11" s="2"/>
      <c r="F11" s="2">
        <v>1</v>
      </c>
      <c r="G11" s="2">
        <f t="shared" si="0"/>
        <v>-921.80000000000007</v>
      </c>
    </row>
    <row r="12" spans="1:8" x14ac:dyDescent="0.2">
      <c r="A12" s="19" t="s">
        <v>13</v>
      </c>
      <c r="B12" s="20"/>
      <c r="C12" s="21">
        <v>-30063.41</v>
      </c>
      <c r="D12" s="22">
        <v>-30063.41</v>
      </c>
      <c r="E12" s="2"/>
      <c r="F12" s="2">
        <v>0</v>
      </c>
      <c r="G12" s="2">
        <f t="shared" si="0"/>
        <v>0</v>
      </c>
    </row>
    <row r="13" spans="1:8" x14ac:dyDescent="0.2">
      <c r="A13" s="19" t="s">
        <v>41</v>
      </c>
      <c r="B13" s="20"/>
      <c r="C13" s="21">
        <v>-229.78</v>
      </c>
      <c r="D13" s="22">
        <v>-229.78</v>
      </c>
      <c r="E13" s="2"/>
      <c r="F13" s="2">
        <v>1</v>
      </c>
      <c r="G13" s="2">
        <f t="shared" si="0"/>
        <v>-229.78</v>
      </c>
    </row>
    <row r="14" spans="1:8" x14ac:dyDescent="0.2">
      <c r="A14" s="19" t="s">
        <v>5</v>
      </c>
      <c r="B14" s="20">
        <v>36345.42</v>
      </c>
      <c r="C14" s="21">
        <v>13377.279999999999</v>
      </c>
      <c r="D14" s="22">
        <v>49722.7</v>
      </c>
      <c r="E14" s="2"/>
      <c r="F14" s="2">
        <v>1</v>
      </c>
      <c r="G14" s="2">
        <f t="shared" si="0"/>
        <v>49722.7</v>
      </c>
    </row>
    <row r="15" spans="1:8" x14ac:dyDescent="0.2">
      <c r="A15" s="19" t="s">
        <v>54</v>
      </c>
      <c r="B15" s="20"/>
      <c r="C15" s="21">
        <v>-109.92</v>
      </c>
      <c r="D15" s="22">
        <v>-109.92</v>
      </c>
      <c r="E15" s="2"/>
      <c r="F15" s="2">
        <v>1</v>
      </c>
      <c r="G15" s="2">
        <f t="shared" si="0"/>
        <v>-109.92</v>
      </c>
    </row>
    <row r="16" spans="1:8" x14ac:dyDescent="0.2">
      <c r="A16" s="19" t="s">
        <v>31</v>
      </c>
      <c r="B16" s="20"/>
      <c r="C16" s="21">
        <v>-113.85</v>
      </c>
      <c r="D16" s="22">
        <v>-113.85</v>
      </c>
      <c r="E16" s="2"/>
      <c r="F16" s="2">
        <v>1</v>
      </c>
      <c r="G16" s="2">
        <f t="shared" si="0"/>
        <v>-113.85</v>
      </c>
    </row>
    <row r="17" spans="1:8" x14ac:dyDescent="0.2">
      <c r="A17" s="19" t="s">
        <v>17</v>
      </c>
      <c r="B17" s="20"/>
      <c r="C17" s="21">
        <v>-866.86</v>
      </c>
      <c r="D17" s="22">
        <v>-866.86</v>
      </c>
      <c r="E17" s="2"/>
      <c r="F17" s="2">
        <v>1</v>
      </c>
      <c r="G17" s="2">
        <f t="shared" si="0"/>
        <v>-866.86</v>
      </c>
    </row>
    <row r="18" spans="1:8" x14ac:dyDescent="0.2">
      <c r="A18" s="19" t="s">
        <v>22</v>
      </c>
      <c r="B18" s="20"/>
      <c r="C18" s="21">
        <v>-9763.5399999999991</v>
      </c>
      <c r="D18" s="22">
        <v>-9763.5399999999991</v>
      </c>
      <c r="E18" s="2"/>
      <c r="F18" s="2">
        <v>1</v>
      </c>
      <c r="G18" s="2">
        <f t="shared" si="0"/>
        <v>-9763.5399999999991</v>
      </c>
    </row>
    <row r="19" spans="1:8" x14ac:dyDescent="0.2">
      <c r="A19" s="19" t="s">
        <v>32</v>
      </c>
      <c r="B19" s="20"/>
      <c r="C19" s="21">
        <v>0</v>
      </c>
      <c r="D19" s="22">
        <v>0</v>
      </c>
      <c r="E19" s="2"/>
      <c r="F19" s="2">
        <v>0</v>
      </c>
      <c r="G19" s="2">
        <f t="shared" si="0"/>
        <v>0</v>
      </c>
    </row>
    <row r="20" spans="1:8" x14ac:dyDescent="0.2">
      <c r="A20" s="19" t="s">
        <v>37</v>
      </c>
      <c r="B20" s="20"/>
      <c r="C20" s="21">
        <v>-244.10999999999999</v>
      </c>
      <c r="D20" s="22">
        <v>-244.10999999999999</v>
      </c>
      <c r="E20" s="2"/>
      <c r="F20" s="2">
        <v>1</v>
      </c>
      <c r="G20" s="2">
        <f t="shared" si="0"/>
        <v>-244.10999999999999</v>
      </c>
    </row>
    <row r="21" spans="1:8" x14ac:dyDescent="0.2">
      <c r="A21" s="19" t="s">
        <v>21</v>
      </c>
      <c r="B21" s="20"/>
      <c r="C21" s="21">
        <v>-105</v>
      </c>
      <c r="D21" s="22">
        <v>-105</v>
      </c>
      <c r="E21" s="2"/>
      <c r="F21" s="2">
        <v>1</v>
      </c>
      <c r="G21" s="2">
        <f t="shared" si="0"/>
        <v>-105</v>
      </c>
    </row>
    <row r="22" spans="1:8" x14ac:dyDescent="0.2">
      <c r="A22" s="19" t="s">
        <v>25</v>
      </c>
      <c r="B22" s="20"/>
      <c r="C22" s="21">
        <v>-1393.4</v>
      </c>
      <c r="D22" s="22">
        <v>-1393.4</v>
      </c>
      <c r="E22" s="4"/>
      <c r="F22" s="2">
        <v>1</v>
      </c>
      <c r="G22" s="2">
        <f t="shared" si="0"/>
        <v>-1393.4</v>
      </c>
      <c r="H22" s="2"/>
    </row>
    <row r="23" spans="1:8" x14ac:dyDescent="0.2">
      <c r="A23" s="19" t="s">
        <v>90</v>
      </c>
      <c r="B23" s="20"/>
      <c r="C23" s="21"/>
      <c r="D23" s="22"/>
      <c r="E23" s="4"/>
      <c r="F23" s="2">
        <v>1</v>
      </c>
      <c r="G23" s="2">
        <f t="shared" si="0"/>
        <v>0</v>
      </c>
      <c r="H23" s="2"/>
    </row>
    <row r="24" spans="1:8" x14ac:dyDescent="0.2">
      <c r="A24" s="23" t="s">
        <v>91</v>
      </c>
      <c r="B24" s="24">
        <v>36345.42</v>
      </c>
      <c r="C24" s="25">
        <v>-36970.15</v>
      </c>
      <c r="D24" s="26">
        <v>-624.73000000000309</v>
      </c>
      <c r="E24" s="4"/>
      <c r="F24" s="4"/>
      <c r="G24" s="4"/>
      <c r="H24" s="2"/>
    </row>
    <row r="25" spans="1:8" x14ac:dyDescent="0.2">
      <c r="A25" s="2"/>
      <c r="B25" s="2"/>
      <c r="E25" s="4"/>
      <c r="F25" s="4"/>
      <c r="G25" s="4"/>
      <c r="H25" s="2"/>
    </row>
    <row r="26" spans="1:8" x14ac:dyDescent="0.2">
      <c r="A26" s="2"/>
      <c r="B26" s="2"/>
      <c r="E26" s="4"/>
      <c r="F26" s="4"/>
      <c r="G26" s="4"/>
      <c r="H26" s="2"/>
    </row>
    <row r="27" spans="1:8" x14ac:dyDescent="0.2">
      <c r="A27" s="2"/>
      <c r="B27" s="2"/>
      <c r="E27" s="4"/>
      <c r="F27" s="4"/>
      <c r="G27" s="4"/>
      <c r="H27" s="2"/>
    </row>
    <row r="28" spans="1:8" x14ac:dyDescent="0.2">
      <c r="A28" s="2" t="s">
        <v>83</v>
      </c>
      <c r="B28" s="2">
        <v>-769</v>
      </c>
      <c r="E28" s="4"/>
      <c r="F28" s="4">
        <f t="shared" ref="F28:F29" si="1">1/3</f>
        <v>0.33333333333333331</v>
      </c>
      <c r="G28" s="4">
        <f t="shared" ref="G28:G30" si="2">B28*F28</f>
        <v>-256.33333333333331</v>
      </c>
      <c r="H28" s="2" t="s">
        <v>85</v>
      </c>
    </row>
    <row r="29" spans="1:8" x14ac:dyDescent="0.2">
      <c r="A29" s="2" t="s">
        <v>86</v>
      </c>
      <c r="B29" s="2">
        <v>-4179.05</v>
      </c>
      <c r="F29" s="4">
        <f t="shared" si="1"/>
        <v>0.33333333333333331</v>
      </c>
      <c r="G29" s="4">
        <f t="shared" si="2"/>
        <v>-1393.0166666666667</v>
      </c>
      <c r="H29" s="2" t="s">
        <v>87</v>
      </c>
    </row>
    <row r="30" spans="1:8" x14ac:dyDescent="0.2">
      <c r="A30" s="2" t="s">
        <v>88</v>
      </c>
      <c r="B30" s="5">
        <v>3059.57</v>
      </c>
      <c r="F30" s="2">
        <v>1</v>
      </c>
      <c r="G30" s="4">
        <f t="shared" si="2"/>
        <v>3059.57</v>
      </c>
    </row>
    <row r="32" spans="1:8" x14ac:dyDescent="0.2">
      <c r="E32" s="6"/>
      <c r="F32" s="6"/>
      <c r="G32" s="6"/>
      <c r="H32" s="6"/>
    </row>
    <row r="33" spans="3:10" x14ac:dyDescent="0.2">
      <c r="C33" s="2"/>
      <c r="D33" s="2"/>
      <c r="E33" s="6"/>
      <c r="F33" s="7" t="s">
        <v>89</v>
      </c>
      <c r="G33" s="8">
        <f>SUM(G2:G30)</f>
        <v>25151.29</v>
      </c>
      <c r="H33" s="6"/>
    </row>
    <row r="34" spans="3:10" x14ac:dyDescent="0.2">
      <c r="E34" s="6"/>
      <c r="F34" s="6"/>
      <c r="G34" s="6"/>
      <c r="H34" s="6"/>
    </row>
    <row r="35" spans="3:10" x14ac:dyDescent="0.2">
      <c r="G35" s="2"/>
    </row>
    <row r="37" spans="3:10" x14ac:dyDescent="0.2">
      <c r="J37" s="2"/>
    </row>
    <row r="38" spans="3:10" x14ac:dyDescent="0.2">
      <c r="J38" s="2"/>
    </row>
    <row r="39" spans="3:10" x14ac:dyDescent="0.2">
      <c r="G39" s="9"/>
      <c r="I39" s="2"/>
      <c r="J39" s="2"/>
    </row>
    <row r="40" spans="3:10" x14ac:dyDescent="0.2">
      <c r="G40" s="9"/>
    </row>
    <row r="41" spans="3:10" x14ac:dyDescent="0.2">
      <c r="I41" s="2"/>
      <c r="J41" s="2"/>
    </row>
  </sheetData>
  <autoFilter ref="A1:G24" xr:uid="{00000000-0009-0000-0000-000002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4"/>
  <sheetViews>
    <sheetView workbookViewId="0"/>
  </sheetViews>
  <sheetFormatPr baseColWidth="10" defaultColWidth="14.5" defaultRowHeight="15" customHeight="1" x14ac:dyDescent="0.2"/>
  <cols>
    <col min="1" max="1" width="36.5" customWidth="1"/>
  </cols>
  <sheetData>
    <row r="4" spans="1:1" x14ac:dyDescent="0.2">
      <c r="A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Sheet4</vt:lpstr>
      <vt:lpstr>Verrichtingen 2025</vt:lpstr>
      <vt:lpstr>Mastercard 2025</vt:lpstr>
      <vt:lpstr>categorieën</vt:lpstr>
      <vt:lpstr>Resultaat</vt:lpstr>
      <vt:lpstr>vragen en onduidelijkheden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 Lemmens</dc:creator>
  <cp:lastModifiedBy>Rein Lemmens</cp:lastModifiedBy>
  <dcterms:created xsi:type="dcterms:W3CDTF">2020-09-05T18:56:34Z</dcterms:created>
  <dcterms:modified xsi:type="dcterms:W3CDTF">2025-12-09T15:37:36Z</dcterms:modified>
</cp:coreProperties>
</file>